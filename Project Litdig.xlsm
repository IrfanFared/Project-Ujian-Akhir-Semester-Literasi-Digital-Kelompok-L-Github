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litdig refisi\2\"/>
    </mc:Choice>
  </mc:AlternateContent>
  <xr:revisionPtr revIDLastSave="0" documentId="13_ncr:1_{206C400C-BB23-43C2-A56D-CAC5F1754644}" xr6:coauthVersionLast="47" xr6:coauthVersionMax="47" xr10:uidLastSave="{00000000-0000-0000-0000-000000000000}"/>
  <bookViews>
    <workbookView xWindow="-120" yWindow="-120" windowWidth="20730" windowHeight="11040" tabRatio="756" firstSheet="2" activeTab="2" xr2:uid="{DC37A9C9-D8AF-4CFD-8CD6-06C9D8B65C08}"/>
  </bookViews>
  <sheets>
    <sheet name="dumy" sheetId="7" state="hidden" r:id="rId1"/>
    <sheet name="Nama Angota" sheetId="10" r:id="rId2"/>
    <sheet name="Inventory Management" sheetId="1" r:id="rId3"/>
    <sheet name="Dashboard" sheetId="9" r:id="rId4"/>
    <sheet name="Dashboard Data" sheetId="8" r:id="rId5"/>
    <sheet name="Pelanggan" sheetId="2" r:id="rId6"/>
    <sheet name="Pemasok" sheetId="3" r:id="rId7"/>
    <sheet name="Tipe Pesanan" sheetId="4" r:id="rId8"/>
    <sheet name="Produk" sheetId="5" r:id="rId9"/>
    <sheet name="Item" sheetId="6" r:id="rId10"/>
  </sheets>
  <definedNames>
    <definedName name="_xlnm._FilterDatabase" localSheetId="9" hidden="1">Item!$A$3:$I$25</definedName>
    <definedName name="_xlnm._FilterDatabase" localSheetId="5" hidden="1">Pelanggan!$A$3:$I$14</definedName>
    <definedName name="_xlnm._FilterDatabase" localSheetId="6" hidden="1">Pemasok!$A$3:$I$14</definedName>
    <definedName name="_xlnm._FilterDatabase" localSheetId="8" hidden="1">Produk!$A$3:$I$8</definedName>
    <definedName name="_xleta.EDATE" hidden="1" xlm="1">#NAME?</definedName>
    <definedName name="_xleta.MONTH" hidden="1" xlm="1">#NAME?</definedName>
    <definedName name="_xleta.SUMIFS" hidden="1" xlm="1">#NAME?</definedName>
    <definedName name="_xlnm.Criteria" localSheetId="9">Item!$M$2:$M$3</definedName>
    <definedName name="_xlnm.Criteria" localSheetId="5">Pelanggan!$M$2:$M$3</definedName>
    <definedName name="_xlnm.Criteria" localSheetId="6">Pemasok!$M$2:$M$3</definedName>
    <definedName name="_xlnm.Criteria" localSheetId="8">Produk!$M$2:$M$3</definedName>
    <definedName name="Cust_ID">OFFSET(Pelanggan!$A$3,1,,COUNTA(Pelanggan!$A$3:$A$9983)-1,1)</definedName>
    <definedName name="Cust_Name">OFFSET(Pelanggan!$B$3,1,,COUNTA(Pelanggan!$A$3:$A$9983)-1,1)</definedName>
    <definedName name="DateRange">dumy!$H$6:$H$12</definedName>
    <definedName name="_xlnm.Extract" localSheetId="9">Item!$P$2:$X$2</definedName>
    <definedName name="_xlnm.Extract" localSheetId="5">Pelanggan!$P$2:$X$2</definedName>
    <definedName name="_xlnm.Extract" localSheetId="6">Pemasok!$P$2:$X$2</definedName>
    <definedName name="_xlnm.Extract" localSheetId="8">Produk!$P$2:$X$2</definedName>
    <definedName name="Months">dumy!$G$6:$G$17</definedName>
    <definedName name="Ord_Date">OFFSET('Tipe Pesanan'!$D$3,1,,COUNTA('Tipe Pesanan'!$A$3:$A$948)-1,1)</definedName>
    <definedName name="Ord_ID">OFFSET('Tipe Pesanan'!$A$3,1,,COUNTA('Tipe Pesanan'!$A$3:$A$948)-1,1)</definedName>
    <definedName name="Ord_Total">OFFSET('Tipe Pesanan'!$E$3,1,,COUNTA('Tipe Pesanan'!$A$3:$A$9948)-1,1)</definedName>
    <definedName name="Ord_Type">OFFSET('Tipe Pesanan'!$B$3,1,,COUNTA('Tipe Pesanan'!$A$3:$A$948)-1,1)</definedName>
    <definedName name="OrdItem_ProdNm">OFFSET(Item!$C$3,1,,COUNTA(Item!$A$3:$A$9999)-1,1)</definedName>
    <definedName name="OrdItem_Qty">OFFSET(Item!$E$3,1,,COUNTA(Item!$A$3:$A$9999)-1,1)</definedName>
    <definedName name="OrdItem_Total">OFFSET(Item!$G$3,1,,COUNTA(Item!$A$3:$A$9999)-1,1)</definedName>
    <definedName name="OrdItem_Type">OFFSET(Item!$B$3,1,,COUNTA(Item!$A$3:$A$9999)-1,1)</definedName>
    <definedName name="_xlnm.Print_Area" localSheetId="2">'Inventory Management'!$D$4:$H$8</definedName>
    <definedName name="Prod_ID">OFFSET(Produk!$A$3,1,,COUNTA(Produk!$A$3:$A$9928)-1,1)</definedName>
    <definedName name="Prod_Name">OFFSET(Produk!$B$3,1,,COUNTA(Produk!$B$3:$B$9928)-1,1)</definedName>
    <definedName name="ProdFolder">dumy!$D$2</definedName>
    <definedName name="PurchTax">dumy!$E$7</definedName>
    <definedName name="PurchTaxOpt">dumy!$D$7</definedName>
    <definedName name="SalesTax">dumy!$E$6</definedName>
    <definedName name="SalestaxOpt">dumy!$D$6</definedName>
    <definedName name="Supp_ID">OFFSET(Pemasok!$A$3,1,,COUNTA(Pemasok!$A$3:$A$9992)-1,1)</definedName>
    <definedName name="Supp_Name">OFFSET(Pemasok!$B$3,1,,COUNTA(Pemasok!$A$3:$A$9992)-1,1)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6" l="1"/>
  <c r="I24" i="6"/>
  <c r="K1" i="8" a="1"/>
  <c r="K1" i="8" s="1"/>
  <c r="N1" i="8"/>
  <c r="I23" i="6"/>
  <c r="I22" i="6"/>
  <c r="I21" i="6"/>
  <c r="I20" i="6"/>
  <c r="I19" i="6"/>
  <c r="I18" i="6"/>
  <c r="I17" i="6"/>
  <c r="I16" i="6"/>
  <c r="I15" i="6"/>
  <c r="I14" i="6"/>
  <c r="I13" i="6"/>
  <c r="I12" i="6"/>
  <c r="G5" i="5" a="1"/>
  <c r="G5" i="5" s="1"/>
  <c r="G6" i="5" a="1"/>
  <c r="G6" i="5" s="1"/>
  <c r="G7" i="5" a="1"/>
  <c r="G7" i="5" s="1"/>
  <c r="G8" i="5" a="1"/>
  <c r="G8" i="5" s="1"/>
  <c r="G4" i="5" a="1"/>
  <c r="G4" i="5" s="1"/>
  <c r="I11" i="6"/>
  <c r="I10" i="6"/>
  <c r="B4" i="9" a="1"/>
  <c r="B4" i="9" s="1"/>
  <c r="B5" i="9" a="1"/>
  <c r="B5" i="9" s="1"/>
  <c r="B6" i="9" a="1"/>
  <c r="B6" i="9" s="1"/>
  <c r="B7" i="9" a="1"/>
  <c r="B7" i="9" s="1"/>
  <c r="B8" i="9" a="1"/>
  <c r="B8" i="9" s="1"/>
  <c r="B9" i="9" a="1"/>
  <c r="B9" i="9" s="1"/>
  <c r="B10" i="9" a="1"/>
  <c r="B10" i="9" s="1"/>
  <c r="B11" i="9" a="1"/>
  <c r="B11" i="9" s="1"/>
  <c r="B12" i="9" a="1"/>
  <c r="B12" i="9" s="1"/>
  <c r="B13" i="9" a="1"/>
  <c r="B13" i="9" s="1"/>
  <c r="B14" i="9" a="1"/>
  <c r="B14" i="9" s="1"/>
  <c r="B3" i="9" a="1"/>
  <c r="B3" i="9" s="1"/>
  <c r="C3" i="9" s="1"/>
  <c r="A1" i="9"/>
  <c r="A1" i="8"/>
  <c r="D1" i="8" a="1"/>
  <c r="D1" i="8" s="1"/>
  <c r="I9" i="6"/>
  <c r="I8" i="6"/>
  <c r="I7" i="6"/>
  <c r="I6" i="6"/>
  <c r="O3" i="8" a="1"/>
  <c r="O3" i="8" s="1"/>
  <c r="O2" i="8" a="1"/>
  <c r="O2" i="8" s="1"/>
  <c r="L3" i="8" a="1"/>
  <c r="L3" i="8" s="1"/>
  <c r="L2" i="8" a="1"/>
  <c r="L2" i="8" s="1"/>
  <c r="B4" i="8" a="1"/>
  <c r="B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3" i="8" a="1"/>
  <c r="B3" i="8" s="1"/>
  <c r="I5" i="6"/>
  <c r="I4" i="6"/>
  <c r="D5" i="1"/>
  <c r="D4" i="1"/>
  <c r="E4" i="1"/>
  <c r="G8" i="1"/>
  <c r="I14" i="2"/>
  <c r="B15" i="1"/>
  <c r="D3" i="8"/>
  <c r="E3" i="8" s="1" a="1"/>
  <c r="E3" i="8" s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B13" i="1"/>
  <c r="B11" i="1"/>
  <c r="B9" i="1"/>
  <c r="B8" i="1"/>
  <c r="B5" i="1"/>
  <c r="B6" i="1"/>
  <c r="C11" i="9" l="1"/>
  <c r="C7" i="9"/>
  <c r="C13" i="9"/>
  <c r="C9" i="9"/>
  <c r="C5" i="9"/>
  <c r="C6" i="9"/>
  <c r="C14" i="9"/>
  <c r="C10" i="9"/>
  <c r="C12" i="9"/>
  <c r="C8" i="9"/>
  <c r="C4" i="9"/>
  <c r="F3" i="8" a="1"/>
  <c r="F3" i="8" s="1"/>
  <c r="H5" i="1"/>
  <c r="H6" i="1" s="1"/>
  <c r="H7" i="1" s="1"/>
  <c r="D27" i="8" l="1"/>
  <c r="D28" i="8"/>
  <c r="D29" i="8"/>
  <c r="D30" i="8"/>
  <c r="D4" i="8"/>
  <c r="D5" i="8"/>
  <c r="F5" i="8" s="1" a="1"/>
  <c r="F5" i="8" s="1"/>
  <c r="D6" i="8"/>
  <c r="D7" i="8"/>
  <c r="E7" i="8" s="1" a="1"/>
  <c r="E7" i="8" s="1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E15" i="8" l="1" a="1"/>
  <c r="E15" i="8" s="1"/>
  <c r="F15" i="8" a="1"/>
  <c r="F15" i="8" s="1"/>
  <c r="E23" i="8" a="1"/>
  <c r="E23" i="8" s="1"/>
  <c r="F23" i="8" a="1"/>
  <c r="F23" i="8" s="1"/>
  <c r="E11" i="8" a="1"/>
  <c r="E11" i="8" s="1"/>
  <c r="F11" i="8" a="1"/>
  <c r="F11" i="8" s="1"/>
  <c r="E30" i="8" a="1"/>
  <c r="E30" i="8" s="1"/>
  <c r="F30" i="8" a="1"/>
  <c r="F30" i="8" s="1"/>
  <c r="E19" i="8" a="1"/>
  <c r="E19" i="8" s="1"/>
  <c r="F19" i="8" a="1"/>
  <c r="F19" i="8" s="1"/>
  <c r="F7" i="8" a="1"/>
  <c r="F7" i="8" s="1"/>
  <c r="E26" i="8" a="1"/>
  <c r="E26" i="8" s="1"/>
  <c r="F26" i="8" a="1"/>
  <c r="F26" i="8" s="1"/>
  <c r="E22" i="8" a="1"/>
  <c r="E22" i="8" s="1"/>
  <c r="F22" i="8" a="1"/>
  <c r="F22" i="8" s="1"/>
  <c r="E18" i="8" a="1"/>
  <c r="E18" i="8" s="1"/>
  <c r="F18" i="8" a="1"/>
  <c r="F18" i="8" s="1"/>
  <c r="E14" i="8" a="1"/>
  <c r="E14" i="8" s="1"/>
  <c r="F14" i="8" a="1"/>
  <c r="F14" i="8" s="1"/>
  <c r="E10" i="8" a="1"/>
  <c r="E10" i="8" s="1"/>
  <c r="F10" i="8" a="1"/>
  <c r="F10" i="8" s="1"/>
  <c r="E6" i="8" a="1"/>
  <c r="E6" i="8" s="1"/>
  <c r="F6" i="8" a="1"/>
  <c r="F6" i="8" s="1"/>
  <c r="E29" i="8" a="1"/>
  <c r="E29" i="8" s="1"/>
  <c r="F29" i="8" a="1"/>
  <c r="F29" i="8" s="1"/>
  <c r="E25" i="8" a="1"/>
  <c r="E25" i="8" s="1"/>
  <c r="F25" i="8" a="1"/>
  <c r="F25" i="8" s="1"/>
  <c r="E21" i="8" a="1"/>
  <c r="E21" i="8" s="1"/>
  <c r="F21" i="8" a="1"/>
  <c r="F21" i="8" s="1"/>
  <c r="E17" i="8" a="1"/>
  <c r="E17" i="8" s="1"/>
  <c r="F17" i="8" a="1"/>
  <c r="F17" i="8" s="1"/>
  <c r="E13" i="8" a="1"/>
  <c r="E13" i="8" s="1"/>
  <c r="F13" i="8" a="1"/>
  <c r="F13" i="8" s="1"/>
  <c r="E9" i="8" a="1"/>
  <c r="E9" i="8" s="1"/>
  <c r="F9" i="8" a="1"/>
  <c r="F9" i="8" s="1"/>
  <c r="E28" i="8" a="1"/>
  <c r="E28" i="8" s="1"/>
  <c r="F28" i="8" a="1"/>
  <c r="F28" i="8" s="1"/>
  <c r="E24" i="8" a="1"/>
  <c r="E24" i="8" s="1"/>
  <c r="F24" i="8" a="1"/>
  <c r="F24" i="8" s="1"/>
  <c r="E20" i="8" a="1"/>
  <c r="E20" i="8" s="1"/>
  <c r="F20" i="8" a="1"/>
  <c r="F20" i="8" s="1"/>
  <c r="E16" i="8" a="1"/>
  <c r="E16" i="8" s="1"/>
  <c r="F16" i="8" a="1"/>
  <c r="F16" i="8" s="1"/>
  <c r="E12" i="8" a="1"/>
  <c r="E12" i="8" s="1"/>
  <c r="F12" i="8" a="1"/>
  <c r="F12" i="8" s="1"/>
  <c r="E8" i="8" a="1"/>
  <c r="E8" i="8" s="1"/>
  <c r="F8" i="8" a="1"/>
  <c r="F8" i="8" s="1"/>
  <c r="E4" i="8" a="1"/>
  <c r="E4" i="8" s="1"/>
  <c r="F4" i="8" a="1"/>
  <c r="F4" i="8" s="1"/>
  <c r="E27" i="8" a="1"/>
  <c r="E27" i="8" s="1"/>
  <c r="F27" i="8" a="1"/>
  <c r="F27" i="8" s="1"/>
  <c r="E5" i="8" a="1"/>
  <c r="E5" i="8" s="1"/>
  <c r="D31" i="8"/>
  <c r="F31" i="8" s="1" a="1"/>
  <c r="F31" i="8" s="1"/>
  <c r="O4" i="8"/>
  <c r="O5" i="8" s="1"/>
  <c r="L4" i="8"/>
  <c r="L5" i="8" s="1"/>
  <c r="D32" i="8" l="1"/>
  <c r="D33" i="8" s="1"/>
  <c r="E31" i="8" a="1"/>
  <c r="E31" i="8" s="1"/>
  <c r="E32" i="8" l="1" a="1"/>
  <c r="E32" i="8" s="1"/>
  <c r="F32" i="8" a="1"/>
  <c r="F32" i="8" s="1"/>
  <c r="F33" i="8" a="1"/>
  <c r="F33" i="8" s="1"/>
  <c r="E33" i="8" a="1"/>
  <c r="E33" i="8" s="1"/>
  <c r="M3" i="6"/>
  <c r="M3" i="5"/>
  <c r="M3" i="3"/>
  <c r="M3" i="2"/>
  <c r="I5" i="5"/>
  <c r="I6" i="5"/>
  <c r="I7" i="5"/>
  <c r="I8" i="5"/>
  <c r="I4" i="5"/>
  <c r="I5" i="3"/>
  <c r="I6" i="3"/>
  <c r="I7" i="3"/>
  <c r="I8" i="3"/>
  <c r="I9" i="3"/>
  <c r="I10" i="3"/>
  <c r="I11" i="3"/>
  <c r="I12" i="3"/>
  <c r="I13" i="3"/>
  <c r="I14" i="3"/>
  <c r="I4" i="3"/>
  <c r="I5" i="2"/>
  <c r="I6" i="2"/>
  <c r="I7" i="2"/>
  <c r="I8" i="2"/>
  <c r="I9" i="2"/>
  <c r="I10" i="2"/>
  <c r="I11" i="2"/>
  <c r="I12" i="2"/>
  <c r="I13" i="2"/>
  <c r="I4" i="2"/>
  <c r="H8" i="5" l="1"/>
  <c r="H6" i="5"/>
  <c r="H5" i="5"/>
  <c r="H4" i="5"/>
  <c r="H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<sst xmlns="http://schemas.openxmlformats.org/spreadsheetml/2006/main" count="696" uniqueCount="241">
  <si>
    <t>DASHBOARD RANGES</t>
  </si>
  <si>
    <t>Months</t>
  </si>
  <si>
    <t>Date Ranges</t>
  </si>
  <si>
    <t>From</t>
  </si>
  <si>
    <t>To</t>
  </si>
  <si>
    <t>January</t>
  </si>
  <si>
    <t>This Month</t>
  </si>
  <si>
    <t>February</t>
  </si>
  <si>
    <t>Last Month</t>
  </si>
  <si>
    <t>March</t>
  </si>
  <si>
    <t>This Year</t>
  </si>
  <si>
    <t>April</t>
  </si>
  <si>
    <t>Last Year</t>
  </si>
  <si>
    <t>May</t>
  </si>
  <si>
    <t>Today</t>
  </si>
  <si>
    <t>June</t>
  </si>
  <si>
    <t>Last 7 Days</t>
  </si>
  <si>
    <t>July</t>
  </si>
  <si>
    <t>Last 15 Days</t>
  </si>
  <si>
    <t>August</t>
  </si>
  <si>
    <t>September</t>
  </si>
  <si>
    <t>October</t>
  </si>
  <si>
    <t>November</t>
  </si>
  <si>
    <t>December</t>
  </si>
  <si>
    <t>Sel. Tab</t>
  </si>
  <si>
    <t>Order Load</t>
  </si>
  <si>
    <t>Order #</t>
  </si>
  <si>
    <t>Order Row</t>
  </si>
  <si>
    <t>Subtotal</t>
  </si>
  <si>
    <t>Next Order #</t>
  </si>
  <si>
    <t>Sel. Order Row</t>
  </si>
  <si>
    <t>Total</t>
  </si>
  <si>
    <t>Search Order Row</t>
  </si>
  <si>
    <t>Qty</t>
  </si>
  <si>
    <t>ID Pelanggan</t>
  </si>
  <si>
    <t>Nama Pelanggan</t>
  </si>
  <si>
    <t>Alamat</t>
  </si>
  <si>
    <t>Kota</t>
  </si>
  <si>
    <t>Provinsi</t>
  </si>
  <si>
    <t>Kode Pos</t>
  </si>
  <si>
    <t>Nomor Telepon</t>
  </si>
  <si>
    <t>Email</t>
  </si>
  <si>
    <t>Cust/Supp Row</t>
  </si>
  <si>
    <t>(555) 555-5555</t>
  </si>
  <si>
    <t>Sel. Cust Row</t>
  </si>
  <si>
    <t>Next Cust. ID</t>
  </si>
  <si>
    <t>Sel. Supp Row</t>
  </si>
  <si>
    <t>Next Supp. ID</t>
  </si>
  <si>
    <t>Sel. Prod Row</t>
  </si>
  <si>
    <t>Next Prod ID</t>
  </si>
  <si>
    <t>Fred@Fredders.com</t>
  </si>
  <si>
    <t>Acme Supplies</t>
  </si>
  <si>
    <t>Big City</t>
  </si>
  <si>
    <t>IL</t>
  </si>
  <si>
    <t>Global Trading Co.</t>
  </si>
  <si>
    <t>global@tradingco.com</t>
  </si>
  <si>
    <t>CRITERIA</t>
  </si>
  <si>
    <t>ID Pemasok</t>
  </si>
  <si>
    <t>Nama Pemasok</t>
  </si>
  <si>
    <t>ID Produk</t>
  </si>
  <si>
    <t>Nama Produk</t>
  </si>
  <si>
    <t>Deskripsi</t>
  </si>
  <si>
    <t>Gambar</t>
  </si>
  <si>
    <t>Harga Beli</t>
  </si>
  <si>
    <t>Harga Jual</t>
  </si>
  <si>
    <t>Ketersediaan</t>
  </si>
  <si>
    <t>Nilai Barang</t>
  </si>
  <si>
    <t xml:space="preserve">Andi Pratama </t>
  </si>
  <si>
    <t xml:space="preserve">Jl. Anggrek 12  </t>
  </si>
  <si>
    <t>Jateng</t>
  </si>
  <si>
    <t>Solo</t>
  </si>
  <si>
    <t>0812-1111-111</t>
  </si>
  <si>
    <t>[andi@mail.com</t>
  </si>
  <si>
    <t>Budi Santoso</t>
  </si>
  <si>
    <t xml:space="preserve">Jl. Cemara 5  </t>
  </si>
  <si>
    <t>Semarang</t>
  </si>
  <si>
    <t>0812-2222-222</t>
  </si>
  <si>
    <t>budi@mail.com</t>
  </si>
  <si>
    <t>Dewi Lestari</t>
  </si>
  <si>
    <t xml:space="preserve">Jl. Gading 8 </t>
  </si>
  <si>
    <t>DIY</t>
  </si>
  <si>
    <t>Yogyakarta</t>
  </si>
  <si>
    <t>0812-3333-333</t>
  </si>
  <si>
    <t>dewi@mail.com</t>
  </si>
  <si>
    <t>Siti Aminah</t>
  </si>
  <si>
    <t>Jl. Mawar 7</t>
  </si>
  <si>
    <t>Karanganyar</t>
  </si>
  <si>
    <t>0812-4444-44</t>
  </si>
  <si>
    <t>Reza Mahendra</t>
  </si>
  <si>
    <t>Jl. Manggis 2</t>
  </si>
  <si>
    <t>Jabar</t>
  </si>
  <si>
    <t>Bandung</t>
  </si>
  <si>
    <t>0812-5555-555</t>
  </si>
  <si>
    <t>reza@mail.com</t>
  </si>
  <si>
    <t>siti@mail.com</t>
  </si>
  <si>
    <t>Rina Oktaviani</t>
  </si>
  <si>
    <t>Jl. Jambu 3</t>
  </si>
  <si>
    <t>0812-6666-666</t>
  </si>
  <si>
    <t>rina@mail.com</t>
  </si>
  <si>
    <t>Agung Wibowo</t>
  </si>
  <si>
    <t xml:space="preserve"> Jl. Cendrawasih 9</t>
  </si>
  <si>
    <t>Jatim</t>
  </si>
  <si>
    <t>Malang</t>
  </si>
  <si>
    <t>0812-7777-777</t>
  </si>
  <si>
    <t>agung@mail.com</t>
  </si>
  <si>
    <t>Surabaya</t>
  </si>
  <si>
    <t>Yoga Prasetyo</t>
  </si>
  <si>
    <t xml:space="preserve"> Jl. Sawo 4 </t>
  </si>
  <si>
    <t>Wonogiri</t>
  </si>
  <si>
    <t>0812-9999-999</t>
  </si>
  <si>
    <t>yoga@mail.com</t>
  </si>
  <si>
    <t xml:space="preserve">Lala Nuraini </t>
  </si>
  <si>
    <t xml:space="preserve">Jl. Wijaya 6 </t>
  </si>
  <si>
    <t>Depok</t>
  </si>
  <si>
    <t>0813-1010-1010</t>
  </si>
  <si>
    <t>lala@mail.com</t>
  </si>
  <si>
    <t>PT Maju Jaya</t>
  </si>
  <si>
    <t>Jl. Melati 22</t>
  </si>
  <si>
    <t>0821-1234-111</t>
  </si>
  <si>
    <t>maju@mail.com</t>
  </si>
  <si>
    <t>CV Sumber Abadi</t>
  </si>
  <si>
    <t>Jl. Turi 9</t>
  </si>
  <si>
    <t xml:space="preserve">0821-1234-112 </t>
  </si>
  <si>
    <t>sumber@mail.com</t>
  </si>
  <si>
    <t>PT Digital Sentosa</t>
  </si>
  <si>
    <t xml:space="preserve">Jl. Palem 3 </t>
  </si>
  <si>
    <t>0821-1234-114</t>
  </si>
  <si>
    <t>digital@mail.com</t>
  </si>
  <si>
    <t xml:space="preserve">Indo Hardware  </t>
  </si>
  <si>
    <t>Jl. Angsana 10</t>
  </si>
  <si>
    <t>PT Solusi Cerdas</t>
  </si>
  <si>
    <t>Jl. Pinus 5</t>
  </si>
  <si>
    <t xml:space="preserve"> Jabar</t>
  </si>
  <si>
    <t>0821-1234-115</t>
  </si>
  <si>
    <t>solusi@mail.com</t>
  </si>
  <si>
    <t xml:space="preserve"> Star Elektronik</t>
  </si>
  <si>
    <t>Jl. Durian 12</t>
  </si>
  <si>
    <t>Tegal</t>
  </si>
  <si>
    <t>star@mail.com</t>
  </si>
  <si>
    <t>Makmur Jaya</t>
  </si>
  <si>
    <t>Jl. Mangga 7</t>
  </si>
  <si>
    <t>0821-1234-117</t>
  </si>
  <si>
    <t>0821-1234-116</t>
  </si>
  <si>
    <t xml:space="preserve"> Jl. Kenanga 2</t>
  </si>
  <si>
    <t>cahaya@mail.com</t>
  </si>
  <si>
    <t>CV Prima</t>
  </si>
  <si>
    <t>Jl. Melon 1</t>
  </si>
  <si>
    <t>Bogor</t>
  </si>
  <si>
    <t>0821-1234-120</t>
  </si>
  <si>
    <t>prima@mail.com</t>
  </si>
  <si>
    <t xml:space="preserve">Mouse X </t>
  </si>
  <si>
    <t>Mouse wireless</t>
  </si>
  <si>
    <t>Keyboard Lite</t>
  </si>
  <si>
    <t>Keyboard basic</t>
  </si>
  <si>
    <t>tidak ada</t>
  </si>
  <si>
    <t xml:space="preserve">Headset A </t>
  </si>
  <si>
    <t xml:space="preserve"> Headset kabel</t>
  </si>
  <si>
    <t>Smartlamp Mini</t>
  </si>
  <si>
    <t>Lampu pintar kecil</t>
  </si>
  <si>
    <t>Kabel HDMI</t>
  </si>
  <si>
    <t>HDMI 1.5m</t>
  </si>
  <si>
    <t>Cari Pelanggan</t>
  </si>
  <si>
    <t>Cari Pemasok</t>
  </si>
  <si>
    <t>Cari Produk</t>
  </si>
  <si>
    <t>List Pelanggan</t>
  </si>
  <si>
    <t>List Pemasok</t>
  </si>
  <si>
    <t>List Produk</t>
  </si>
  <si>
    <t>Tanggal pesan</t>
  </si>
  <si>
    <t>cari pesanan</t>
  </si>
  <si>
    <t>Pembelian</t>
  </si>
  <si>
    <t>Pesanan #</t>
  </si>
  <si>
    <t>List Pesanan</t>
  </si>
  <si>
    <t>Tipe</t>
  </si>
  <si>
    <t>Tanggal Pesanan</t>
  </si>
  <si>
    <t>Pelanggan atau Pemasok</t>
  </si>
  <si>
    <t>Total Pesanan</t>
  </si>
  <si>
    <t>Harga</t>
  </si>
  <si>
    <t>Total Penjualan</t>
  </si>
  <si>
    <t>Penjualan</t>
  </si>
  <si>
    <t>Bulan</t>
  </si>
  <si>
    <t>Hari</t>
  </si>
  <si>
    <t>Penjualan Bulanan</t>
  </si>
  <si>
    <t>Laba Bulanan</t>
  </si>
  <si>
    <t>Untung %</t>
  </si>
  <si>
    <t>Penjualan Tahunan</t>
  </si>
  <si>
    <t>Tahun Pembelian</t>
  </si>
  <si>
    <t>Laba Tahunan</t>
  </si>
  <si>
    <t>Pembelian Bulanan</t>
  </si>
  <si>
    <t>Produk</t>
  </si>
  <si>
    <t>BULAN</t>
  </si>
  <si>
    <t>TOTAL PENJUALAN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</si>
  <si>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</si>
  <si>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</si>
  <si>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</si>
  <si>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</si>
  <si>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</si>
  <si>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</si>
  <si>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</si>
  <si>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</si>
  <si>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</si>
  <si>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</si>
  <si>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</si>
  <si>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</si>
  <si>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KETERANGAN</t>
  </si>
  <si>
    <t>0843-1242-2141</t>
  </si>
  <si>
    <t>0892-1212-3122</t>
  </si>
  <si>
    <t>Item Pesanan</t>
  </si>
  <si>
    <t>ID</t>
  </si>
  <si>
    <t xml:space="preserve">Renaldo </t>
  </si>
  <si>
    <t>Jl.Durian</t>
  </si>
  <si>
    <t>Jawa Tengah</t>
  </si>
  <si>
    <t>Kudus</t>
  </si>
  <si>
    <t>Bekasi</t>
  </si>
  <si>
    <t>Jepara</t>
  </si>
  <si>
    <t>Kolom</t>
  </si>
  <si>
    <t>Kolom Item</t>
  </si>
  <si>
    <t>Kolom DB</t>
  </si>
  <si>
    <t>No</t>
  </si>
  <si>
    <t>HASIL</t>
  </si>
  <si>
    <t>T</t>
  </si>
  <si>
    <t>NONE</t>
  </si>
  <si>
    <t>CUSTOMERS</t>
  </si>
  <si>
    <t>reanldoh@gmail.com</t>
  </si>
  <si>
    <t>jL.Martabak</t>
  </si>
  <si>
    <t>Fathan</t>
  </si>
  <si>
    <t>PT Anastasa</t>
  </si>
  <si>
    <t>Jl.Mineral</t>
  </si>
  <si>
    <t>Jakarta</t>
  </si>
  <si>
    <t>DKI Jakarta</t>
  </si>
  <si>
    <t>JL. Jakarta</t>
  </si>
  <si>
    <t>.</t>
  </si>
  <si>
    <t>l</t>
  </si>
  <si>
    <t>s</t>
  </si>
  <si>
    <t>Ra</t>
  </si>
  <si>
    <t>C</t>
  </si>
  <si>
    <t>Hasli Pencarian</t>
  </si>
  <si>
    <t>Hasil Pencarian</t>
  </si>
  <si>
    <t>Kudus, Jateng, 59311</t>
  </si>
  <si>
    <t>h</t>
  </si>
  <si>
    <t>o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</si>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</sst>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Rp&quot;#,##0.00;\-&quot;Rp&quot;#,##0.00"/>
    <numFmt numFmtId="42" formatCode="_-&quot;Rp&quot;* #,##0_-;\-&quot;Rp&quot;* #,##0_-;_-&quot;Rp&quot;* &quot;-&quot;_-;_-@_-"/>
    <numFmt numFmtId="44" formatCode="_-&quot;Rp&quot;* #,##0.00_-;\-&quot;Rp&quot;* #,##0.00_-;_-&quot;Rp&quot;* &quot;-&quot;??_-;_-@_-"/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 &quot;#,##0.00&quot; &quot;;&quot;-&quot;#,##0.00&quot; &quot;;&quot; -&quot;00&quot; &quot;;&quot; &quot;@&quot; &quot;"/>
    <numFmt numFmtId="167" formatCode=";;;"/>
    <numFmt numFmtId="168" formatCode="&quot;$&quot;#,##0.00"/>
    <numFmt numFmtId="169" formatCode="d"/>
    <numFmt numFmtId="170" formatCode="&quot;$&quot;#,##0"/>
    <numFmt numFmtId="171" formatCode="&quot;Rp&quot;#,##0.00"/>
    <numFmt numFmtId="172" formatCode="[Green]&quot;⬆️&quot;#.##0%;[Red]&quot;⬇️&quot;#.##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theme="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5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5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164" fontId="0" fillId="0" borderId="0" xfId="0" applyNumberFormat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8" xfId="0" applyFill="1" applyBorder="1"/>
    <xf numFmtId="0" fontId="0" fillId="3" borderId="39" xfId="0" applyFill="1" applyBorder="1"/>
    <xf numFmtId="0" fontId="0" fillId="3" borderId="43" xfId="0" applyFill="1" applyBorder="1"/>
    <xf numFmtId="9" fontId="0" fillId="3" borderId="45" xfId="2" applyFont="1" applyFill="1" applyBorder="1"/>
    <xf numFmtId="169" fontId="0" fillId="3" borderId="38" xfId="0" applyNumberFormat="1" applyFill="1" applyBorder="1" applyAlignment="1">
      <alignment horizontal="center"/>
    </xf>
    <xf numFmtId="169" fontId="0" fillId="3" borderId="39" xfId="0" applyNumberForma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0" fillId="3" borderId="48" xfId="0" applyFill="1" applyBorder="1"/>
    <xf numFmtId="0" fontId="2" fillId="5" borderId="50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168" fontId="2" fillId="5" borderId="51" xfId="1" applyNumberFormat="1" applyFont="1" applyFill="1" applyBorder="1" applyAlignment="1">
      <alignment horizontal="center"/>
    </xf>
    <xf numFmtId="170" fontId="0" fillId="3" borderId="46" xfId="1" applyNumberFormat="1" applyFont="1" applyFill="1" applyBorder="1"/>
    <xf numFmtId="170" fontId="0" fillId="3" borderId="42" xfId="1" applyNumberFormat="1" applyFont="1" applyFill="1" applyBorder="1"/>
    <xf numFmtId="169" fontId="0" fillId="3" borderId="48" xfId="0" applyNumberForma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4" xfId="0" applyFill="1" applyBorder="1"/>
    <xf numFmtId="0" fontId="0" fillId="2" borderId="55" xfId="0" applyFill="1" applyBorder="1"/>
    <xf numFmtId="0" fontId="6" fillId="0" borderId="7" xfId="0" applyFont="1" applyBorder="1" applyAlignment="1">
      <alignment horizontal="center" vertical="center"/>
    </xf>
    <xf numFmtId="0" fontId="0" fillId="0" borderId="56" xfId="0" applyBorder="1" applyAlignment="1">
      <alignment horizontal="right" vertical="center"/>
    </xf>
    <xf numFmtId="14" fontId="0" fillId="2" borderId="53" xfId="0" applyNumberFormat="1" applyFill="1" applyBorder="1"/>
    <xf numFmtId="0" fontId="11" fillId="0" borderId="6" xfId="0" applyFont="1" applyBorder="1" applyAlignment="1">
      <alignment horizontal="center" vertical="center"/>
    </xf>
    <xf numFmtId="0" fontId="0" fillId="2" borderId="57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1" xfId="0" applyBorder="1"/>
    <xf numFmtId="0" fontId="0" fillId="0" borderId="62" xfId="0" applyBorder="1"/>
    <xf numFmtId="0" fontId="0" fillId="0" borderId="64" xfId="0" applyBorder="1"/>
    <xf numFmtId="0" fontId="2" fillId="0" borderId="65" xfId="0" applyFont="1" applyBorder="1" applyAlignment="1">
      <alignment horizontal="center"/>
    </xf>
    <xf numFmtId="0" fontId="2" fillId="5" borderId="66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165" fontId="10" fillId="5" borderId="66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65" xfId="0" applyFont="1" applyBorder="1" applyAlignment="1">
      <alignment horizontal="center" vertical="center"/>
    </xf>
    <xf numFmtId="0" fontId="0" fillId="0" borderId="65" xfId="0" applyBorder="1"/>
    <xf numFmtId="167" fontId="0" fillId="0" borderId="0" xfId="1" applyNumberFormat="1" applyFont="1" applyAlignment="1">
      <alignment horizontal="center"/>
    </xf>
    <xf numFmtId="0" fontId="10" fillId="9" borderId="69" xfId="0" applyFont="1" applyFill="1" applyBorder="1" applyAlignment="1">
      <alignment horizontal="center"/>
    </xf>
    <xf numFmtId="165" fontId="10" fillId="9" borderId="69" xfId="1" applyFont="1" applyFill="1" applyBorder="1" applyAlignment="1">
      <alignment horizontal="center"/>
    </xf>
    <xf numFmtId="0" fontId="10" fillId="9" borderId="11" xfId="1" applyNumberFormat="1" applyFont="1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3" xfId="0" applyBorder="1"/>
    <xf numFmtId="0" fontId="0" fillId="0" borderId="74" xfId="1" applyNumberFormat="1" applyFont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8" xfId="0" applyBorder="1"/>
    <xf numFmtId="0" fontId="0" fillId="0" borderId="71" xfId="1" applyNumberFormat="1" applyFont="1" applyBorder="1" applyAlignment="1">
      <alignment horizontal="center"/>
    </xf>
    <xf numFmtId="42" fontId="0" fillId="0" borderId="0" xfId="1" applyNumberFormat="1" applyFont="1"/>
    <xf numFmtId="42" fontId="0" fillId="0" borderId="0" xfId="0" applyNumberFormat="1"/>
    <xf numFmtId="42" fontId="0" fillId="0" borderId="68" xfId="1" applyNumberFormat="1" applyFont="1" applyBorder="1"/>
    <xf numFmtId="42" fontId="0" fillId="0" borderId="73" xfId="1" applyNumberFormat="1" applyFont="1" applyBorder="1"/>
    <xf numFmtId="7" fontId="0" fillId="0" borderId="0" xfId="1" applyNumberFormat="1" applyFont="1"/>
    <xf numFmtId="7" fontId="0" fillId="0" borderId="0" xfId="0" applyNumberFormat="1"/>
    <xf numFmtId="42" fontId="0" fillId="2" borderId="14" xfId="1" applyNumberFormat="1" applyFont="1" applyFill="1" applyBorder="1"/>
    <xf numFmtId="42" fontId="0" fillId="2" borderId="17" xfId="1" applyNumberFormat="1" applyFont="1" applyFill="1" applyBorder="1"/>
    <xf numFmtId="42" fontId="0" fillId="3" borderId="23" xfId="1" applyNumberFormat="1" applyFont="1" applyFill="1" applyBorder="1"/>
    <xf numFmtId="42" fontId="0" fillId="3" borderId="49" xfId="1" applyNumberFormat="1" applyFont="1" applyFill="1" applyBorder="1"/>
    <xf numFmtId="42" fontId="0" fillId="3" borderId="41" xfId="1" applyNumberFormat="1" applyFont="1" applyFill="1" applyBorder="1"/>
    <xf numFmtId="42" fontId="0" fillId="3" borderId="44" xfId="1" applyNumberFormat="1" applyFont="1" applyFill="1" applyBorder="1"/>
    <xf numFmtId="0" fontId="0" fillId="5" borderId="1" xfId="0" applyFill="1" applyBorder="1" applyAlignment="1">
      <alignment horizontal="center"/>
    </xf>
    <xf numFmtId="44" fontId="0" fillId="3" borderId="41" xfId="1" applyNumberFormat="1" applyFont="1" applyFill="1" applyBorder="1"/>
    <xf numFmtId="44" fontId="0" fillId="3" borderId="44" xfId="1" applyNumberFormat="1" applyFont="1" applyFill="1" applyBorder="1"/>
    <xf numFmtId="171" fontId="0" fillId="0" borderId="0" xfId="0" applyNumberFormat="1"/>
    <xf numFmtId="172" fontId="0" fillId="0" borderId="0" xfId="0" applyNumberFormat="1" applyAlignment="1">
      <alignment horizontal="center" vertical="center"/>
    </xf>
    <xf numFmtId="7" fontId="0" fillId="0" borderId="73" xfId="1" applyNumberFormat="1" applyFont="1" applyBorder="1"/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4" fillId="6" borderId="58" xfId="0" applyFont="1" applyFill="1" applyBorder="1" applyAlignment="1">
      <alignment horizontal="center" vertical="center"/>
    </xf>
    <xf numFmtId="0" fontId="4" fillId="6" borderId="59" xfId="0" applyFont="1" applyFill="1" applyBorder="1" applyAlignment="1">
      <alignment horizontal="center" vertical="center"/>
    </xf>
    <xf numFmtId="0" fontId="4" fillId="6" borderId="60" xfId="0" applyFont="1" applyFill="1" applyBorder="1" applyAlignment="1">
      <alignment horizontal="center" vertical="center"/>
    </xf>
    <xf numFmtId="0" fontId="4" fillId="6" borderId="61" xfId="0" applyFont="1" applyFill="1" applyBorder="1" applyAlignment="1">
      <alignment horizontal="center" vertical="center"/>
    </xf>
    <xf numFmtId="0" fontId="4" fillId="6" borderId="62" xfId="0" applyFont="1" applyFill="1" applyBorder="1" applyAlignment="1">
      <alignment horizontal="center" vertical="center"/>
    </xf>
    <xf numFmtId="0" fontId="4" fillId="6" borderId="63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6" borderId="47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40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29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291C76"/>
      <color rgb="FF352498"/>
      <color rgb="FFDAE3F3"/>
      <color rgb="FF4B34CE"/>
      <color rgb="FFECF0F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PENJUALAN TIAP BULAN: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Penjualan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26400</c:v>
                </c:pt>
                <c:pt idx="10">
                  <c:v>642800</c:v>
                </c:pt>
                <c:pt idx="11">
                  <c:v>616400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_(&quot;Rp&quot;* #,##0_);_(&quot;Rp&quot;* \(#,##0\);_(&quot;Rp&quot;* &quot;-&quot;_);_(@_)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DECEMBER PEMBELIAN DAN PENJUALAN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Pembelian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45992</c:v>
                </c:pt>
                <c:pt idx="1">
                  <c:v>45993</c:v>
                </c:pt>
                <c:pt idx="2">
                  <c:v>45994</c:v>
                </c:pt>
                <c:pt idx="3">
                  <c:v>45995</c:v>
                </c:pt>
                <c:pt idx="4">
                  <c:v>45996</c:v>
                </c:pt>
                <c:pt idx="5">
                  <c:v>45997</c:v>
                </c:pt>
                <c:pt idx="6">
                  <c:v>45998</c:v>
                </c:pt>
                <c:pt idx="7">
                  <c:v>45999</c:v>
                </c:pt>
                <c:pt idx="8">
                  <c:v>46000</c:v>
                </c:pt>
                <c:pt idx="9">
                  <c:v>46001</c:v>
                </c:pt>
                <c:pt idx="10">
                  <c:v>46002</c:v>
                </c:pt>
                <c:pt idx="11">
                  <c:v>46003</c:v>
                </c:pt>
                <c:pt idx="12">
                  <c:v>46004</c:v>
                </c:pt>
                <c:pt idx="13">
                  <c:v>46005</c:v>
                </c:pt>
                <c:pt idx="14">
                  <c:v>46006</c:v>
                </c:pt>
                <c:pt idx="15">
                  <c:v>46007</c:v>
                </c:pt>
                <c:pt idx="16">
                  <c:v>46008</c:v>
                </c:pt>
                <c:pt idx="17">
                  <c:v>46009</c:v>
                </c:pt>
                <c:pt idx="18">
                  <c:v>46010</c:v>
                </c:pt>
                <c:pt idx="19">
                  <c:v>46011</c:v>
                </c:pt>
                <c:pt idx="20">
                  <c:v>46012</c:v>
                </c:pt>
                <c:pt idx="21">
                  <c:v>46013</c:v>
                </c:pt>
                <c:pt idx="22">
                  <c:v>46014</c:v>
                </c:pt>
                <c:pt idx="23">
                  <c:v>46015</c:v>
                </c:pt>
                <c:pt idx="24">
                  <c:v>46016</c:v>
                </c:pt>
                <c:pt idx="25">
                  <c:v>46017</c:v>
                </c:pt>
                <c:pt idx="26">
                  <c:v>46018</c:v>
                </c:pt>
                <c:pt idx="27">
                  <c:v>46019</c:v>
                </c:pt>
                <c:pt idx="28">
                  <c:v>46020</c:v>
                </c:pt>
                <c:pt idx="29">
                  <c:v>46021</c:v>
                </c:pt>
                <c:pt idx="30">
                  <c:v>46022</c:v>
                </c:pt>
              </c:numCache>
            </c:numRef>
          </c:cat>
          <c:val>
            <c:numRef>
              <c:f>'Dashboard Data'!$E$3:$E$33</c:f>
              <c:numCache>
                <c:formatCode>_("Rp"* #,##0_);_("Rp"* \(#,##0\);_("Rp"* "-"_);_(@_)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275000</c:v>
                </c:pt>
                <c:pt idx="3">
                  <c:v>440000</c:v>
                </c:pt>
                <c:pt idx="4">
                  <c:v>5040000</c:v>
                </c:pt>
                <c:pt idx="5">
                  <c:v>100000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&quot;$&quot;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Penjualan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45992</c:v>
                </c:pt>
                <c:pt idx="1">
                  <c:v>45993</c:v>
                </c:pt>
                <c:pt idx="2">
                  <c:v>45994</c:v>
                </c:pt>
                <c:pt idx="3">
                  <c:v>45995</c:v>
                </c:pt>
                <c:pt idx="4">
                  <c:v>45996</c:v>
                </c:pt>
                <c:pt idx="5">
                  <c:v>45997</c:v>
                </c:pt>
                <c:pt idx="6">
                  <c:v>45998</c:v>
                </c:pt>
                <c:pt idx="7">
                  <c:v>45999</c:v>
                </c:pt>
                <c:pt idx="8">
                  <c:v>46000</c:v>
                </c:pt>
                <c:pt idx="9">
                  <c:v>46001</c:v>
                </c:pt>
                <c:pt idx="10">
                  <c:v>46002</c:v>
                </c:pt>
                <c:pt idx="11">
                  <c:v>46003</c:v>
                </c:pt>
                <c:pt idx="12">
                  <c:v>46004</c:v>
                </c:pt>
                <c:pt idx="13">
                  <c:v>46005</c:v>
                </c:pt>
                <c:pt idx="14">
                  <c:v>46006</c:v>
                </c:pt>
                <c:pt idx="15">
                  <c:v>46007</c:v>
                </c:pt>
                <c:pt idx="16">
                  <c:v>46008</c:v>
                </c:pt>
                <c:pt idx="17">
                  <c:v>46009</c:v>
                </c:pt>
                <c:pt idx="18">
                  <c:v>46010</c:v>
                </c:pt>
                <c:pt idx="19">
                  <c:v>46011</c:v>
                </c:pt>
                <c:pt idx="20">
                  <c:v>46012</c:v>
                </c:pt>
                <c:pt idx="21">
                  <c:v>46013</c:v>
                </c:pt>
                <c:pt idx="22">
                  <c:v>46014</c:v>
                </c:pt>
                <c:pt idx="23">
                  <c:v>46015</c:v>
                </c:pt>
                <c:pt idx="24">
                  <c:v>46016</c:v>
                </c:pt>
                <c:pt idx="25">
                  <c:v>46017</c:v>
                </c:pt>
                <c:pt idx="26">
                  <c:v>46018</c:v>
                </c:pt>
                <c:pt idx="27">
                  <c:v>46019</c:v>
                </c:pt>
                <c:pt idx="28">
                  <c:v>46020</c:v>
                </c:pt>
                <c:pt idx="29">
                  <c:v>46021</c:v>
                </c:pt>
                <c:pt idx="30">
                  <c:v>46022</c:v>
                </c:pt>
              </c:numCache>
            </c:numRef>
          </c:cat>
          <c:val>
            <c:numRef>
              <c:f>'Dashboard Data'!$F$3:$F$33</c:f>
              <c:numCache>
                <c:formatCode>_("Rp"* #,##0_);_("Rp"* \(#,##0\);_("Rp"* "-"_);_(@_)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13200</c:v>
                </c:pt>
                <c:pt idx="3">
                  <c:v>440000</c:v>
                </c:pt>
                <c:pt idx="4">
                  <c:v>163200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 formatCode="&quot;$&quot;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Data'!$H$1:$I$1</c:f>
          <c:strCache>
            <c:ptCount val="2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DECEMBER 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Penjualan Bulanan</c:v>
                </c:pt>
                <c:pt idx="1">
                  <c:v>Laba Bulanan</c:v>
                </c:pt>
              </c:strCache>
            </c:strRef>
          </c:cat>
          <c:val>
            <c:numRef>
              <c:f>('Dashboard Data'!$L$2,'Dashboard Data'!$L$4)</c:f>
              <c:numCache>
                <c:formatCode>_("Rp"* #,##0_);_("Rp"* \(#,##0\);_("Rp"* "-"_);_(@_)</c:formatCode>
                <c:ptCount val="2"/>
                <c:pt idx="0" formatCode="_(&quot;Rp&quot;* #,##0.00_);_(&quot;Rp&quot;* \(#,##0.00\);_(&quot;Rp&quot;* &quot;-&quot;??_);_(@_)">
                  <c:v>616400</c:v>
                </c:pt>
                <c:pt idx="1">
                  <c:v>-5238600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2025 .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Penjualan Tahunan</c:v>
                </c:pt>
                <c:pt idx="1">
                  <c:v>Laba Tahunan</c:v>
                </c:pt>
              </c:strCache>
            </c:strRef>
          </c:cat>
          <c:val>
            <c:numRef>
              <c:f>('Dashboard Data'!$O$2,'Dashboard Data'!$O$4)</c:f>
              <c:numCache>
                <c:formatCode>_("Rp"* #,##0.00_);_("Rp"* \(#,##0.00\);_("Rp"* "-"??_);_(@_)</c:formatCode>
                <c:ptCount val="2"/>
                <c:pt idx="0">
                  <c:v>642800</c:v>
                </c:pt>
                <c:pt idx="1">
                  <c:v>-5412200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ID" sz="1600"/>
              <a:t>Top Produk Paling Banyak Dijual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Dashboard!$AB$1</c:f>
              <c:strCache>
                <c:ptCount val="1"/>
                <c:pt idx="0">
                  <c:v>Qty</c:v>
                </c:pt>
              </c:strCache>
            </c:strRef>
          </c:tx>
          <c:spPr>
            <a:solidFill>
              <a:srgbClr val="4987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Dashboard!$AA$2:$AA$5</c:f>
              <c:strCache>
                <c:ptCount val="4"/>
                <c:pt idx="0">
                  <c:v>Smartlamp Mini</c:v>
                </c:pt>
                <c:pt idx="1">
                  <c:v>Mouse X </c:v>
                </c:pt>
                <c:pt idx="2">
                  <c:v>Keyboard Lite</c:v>
                </c:pt>
                <c:pt idx="3">
                  <c:v>Kabel HDMI</c:v>
                </c:pt>
              </c:strCache>
            </c:strRef>
          </c:cat>
          <c:val>
            <c:numRef>
              <c:f>Dashboard!$AB$2:$AB$5</c:f>
              <c:numCache>
                <c:formatCode>General</c:formatCode>
                <c:ptCount val="4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1-428D-A60E-0E09A309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944752"/>
        <c:axId val="1257958192"/>
      </c:barChart>
      <c:catAx>
        <c:axId val="125794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257958192"/>
        <c:crosses val="autoZero"/>
        <c:auto val="1"/>
        <c:lblAlgn val="ctr"/>
        <c:lblOffset val="100"/>
        <c:noMultiLvlLbl val="0"/>
      </c:catAx>
      <c:valAx>
        <c:axId val="1257958192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25794475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3</xdr:row>
      <xdr:rowOff>104775</xdr:rowOff>
    </xdr:from>
    <xdr:to>
      <xdr:col>19</xdr:col>
      <xdr:colOff>171449</xdr:colOff>
      <xdr:row>18</xdr:row>
      <xdr:rowOff>1007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0D3AE0D-566A-61AA-70BA-2681E6EE0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676275"/>
          <a:ext cx="11115675" cy="27537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96</xdr:col>
      <xdr:colOff>494943</xdr:colOff>
      <xdr:row>2</xdr:row>
      <xdr:rowOff>53315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89485" y="12700"/>
          <a:ext cx="33869796" cy="1095836"/>
          <a:chOff x="2273300" y="12700"/>
          <a:chExt cx="34624758" cy="1098596"/>
        </a:xfrm>
        <a:solidFill>
          <a:schemeClr val="bg1">
            <a:lumMod val="95000"/>
          </a:schemeClr>
        </a:solidFill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en-US" sz="3000" b="1">
              <a:solidFill>
                <a:srgbClr val="4B34CE"/>
              </a:solidFill>
              <a:latin typeface="Arial Rounded MT Bold" panose="020F0704030504030204" pitchFamily="34" charset="0"/>
            </a:endParaRP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3501259" y="383244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>
                <a:solidFill>
                  <a:schemeClr val="bg1"/>
                </a:solidFill>
              </a:rPr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25768672" y="415041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28071493" y="488389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30383153" y="484943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32786036" y="548269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>
                <a:solidFill>
                  <a:schemeClr val="bg1"/>
                </a:solidFill>
              </a:rPr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34886378" y="561256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grpFill/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>
            <a:stCxn id="103" idx="3"/>
            <a:endCxn id="101" idx="1"/>
          </xdr:cNvCxnSpPr>
        </xdr:nvCxnSpPr>
        <xdr:spPr>
          <a:xfrm flipV="1">
            <a:off x="6487825" y="766502"/>
            <a:ext cx="695807" cy="837"/>
          </a:xfrm>
          <a:prstGeom prst="line">
            <a:avLst/>
          </a:prstGeom>
          <a:grpFill/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>
            <a:stCxn id="101" idx="3"/>
          </xdr:cNvCxnSpPr>
        </xdr:nvCxnSpPr>
        <xdr:spPr>
          <a:xfrm flipV="1">
            <a:off x="8686833" y="756920"/>
            <a:ext cx="679417" cy="9582"/>
          </a:xfrm>
          <a:prstGeom prst="line">
            <a:avLst/>
          </a:prstGeom>
          <a:grpFill/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>
            <a:stCxn id="93" idx="3"/>
          </xdr:cNvCxnSpPr>
        </xdr:nvCxnSpPr>
        <xdr:spPr>
          <a:xfrm flipV="1">
            <a:off x="10836760" y="760337"/>
            <a:ext cx="605315" cy="9805"/>
          </a:xfrm>
          <a:prstGeom prst="line">
            <a:avLst/>
          </a:prstGeom>
          <a:grpFill/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>
            <a:stCxn id="97" idx="3"/>
          </xdr:cNvCxnSpPr>
        </xdr:nvCxnSpPr>
        <xdr:spPr>
          <a:xfrm>
            <a:off x="13032275" y="801630"/>
            <a:ext cx="494667" cy="2624"/>
          </a:xfrm>
          <a:prstGeom prst="line">
            <a:avLst/>
          </a:prstGeom>
          <a:grpFill/>
          <a:ln w="381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038143" y="410582"/>
            <a:ext cx="1627411" cy="653632"/>
          </a:xfrm>
          <a:prstGeom prst="rect">
            <a:avLst/>
          </a:prstGeom>
          <a:grpFill/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374439" y="483201"/>
            <a:ext cx="1462321" cy="573881"/>
          </a:xfrm>
          <a:prstGeom prst="rect">
            <a:avLst/>
          </a:prstGeom>
          <a:grpFill/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85405" y="575569"/>
            <a:ext cx="1783171" cy="408634"/>
          </a:xfrm>
          <a:prstGeom prst="rect">
            <a:avLst/>
          </a:prstGeom>
          <a:grpFill/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2877" y="491962"/>
            <a:ext cx="1589397" cy="619334"/>
          </a:xfrm>
          <a:prstGeom prst="rect">
            <a:avLst/>
          </a:prstGeom>
          <a:grpFill/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183632" y="470237"/>
            <a:ext cx="1503201" cy="592530"/>
          </a:xfrm>
          <a:prstGeom prst="rect">
            <a:avLst/>
          </a:prstGeom>
          <a:grpFill/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871217" y="447213"/>
            <a:ext cx="1616608" cy="640250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1024842</xdr:colOff>
      <xdr:row>10</xdr:row>
      <xdr:rowOff>72342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894544" y="1526241"/>
          <a:ext cx="3654489" cy="964704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Hapus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Tambah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Simpan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22</xdr:col>
      <xdr:colOff>1517534</xdr:colOff>
      <xdr:row>4</xdr:row>
      <xdr:rowOff>151577</xdr:rowOff>
    </xdr:to>
    <xdr:grpSp>
      <xdr:nvGrpSpPr>
        <xdr:cNvPr id="116" name="AddNewCustomer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7452285" y="1302124"/>
          <a:ext cx="1498484" cy="324894"/>
          <a:chOff x="22580600" y="1257300"/>
          <a:chExt cx="1593850" cy="335727"/>
        </a:xfrm>
      </xdr:grpSpPr>
      <xdr:sp macro="[0]!Customer_AddNew" textlink="">
        <xdr:nvSpPr>
          <xdr:cNvPr id="114" name="MenuItem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Tambah</a:t>
            </a:r>
            <a:r>
              <a:rPr lang="en-US" sz="1200" baseline="0"/>
              <a:t> Pelanggan</a:t>
            </a:r>
            <a:endParaRPr lang="en-US" sz="1200"/>
          </a:p>
        </xdr:txBody>
      </xdr:sp>
      <xdr:pic macro="[0]!Customer_AddNew">
        <xdr:nvPicPr>
          <xdr:cNvPr id="115" name="Picture 114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270820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9384926" y="1283074"/>
          <a:ext cx="1484791" cy="324462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Tambah</a:t>
            </a:r>
            <a:r>
              <a:rPr lang="en-US" sz="1200" baseline="0"/>
              <a:t> Pemasok</a:t>
            </a:r>
            <a:endParaRPr lang="en-US" sz="1200"/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58</xdr:col>
      <xdr:colOff>304171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9384926" y="1302124"/>
          <a:ext cx="1518142" cy="324462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Tambah</a:t>
            </a:r>
            <a:r>
              <a:rPr lang="en-US" sz="1200" baseline="0"/>
              <a:t> Produk</a:t>
            </a:r>
            <a:endParaRPr lang="en-US" sz="1200"/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12700</xdr:colOff>
      <xdr:row>13</xdr:row>
      <xdr:rowOff>0</xdr:rowOff>
    </xdr:from>
    <xdr:to>
      <xdr:col>56</xdr:col>
      <xdr:colOff>182880</xdr:colOff>
      <xdr:row>14</xdr:row>
      <xdr:rowOff>2676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9384926" y="2978897"/>
          <a:ext cx="182880" cy="189441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190500</xdr:colOff>
      <xdr:row>13</xdr:row>
      <xdr:rowOff>0</xdr:rowOff>
    </xdr:from>
    <xdr:to>
      <xdr:col>56</xdr:col>
      <xdr:colOff>191732</xdr:colOff>
      <xdr:row>14</xdr:row>
      <xdr:rowOff>2676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9384926" y="2978897"/>
          <a:ext cx="191732" cy="189441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109</xdr:col>
      <xdr:colOff>547042</xdr:colOff>
      <xdr:row>6</xdr:row>
      <xdr:rowOff>43721</xdr:rowOff>
    </xdr:from>
    <xdr:to>
      <xdr:col>116</xdr:col>
      <xdr:colOff>125329</xdr:colOff>
      <xdr:row>18</xdr:row>
      <xdr:rowOff>125328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42102189" y="1705927"/>
          <a:ext cx="3827184" cy="2332122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1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1" y="1136650"/>
          <a:ext cx="3917949" cy="55816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>
    <xdr:from>
      <xdr:col>0</xdr:col>
      <xdr:colOff>-409575</xdr:colOff>
      <xdr:row>0</xdr:row>
      <xdr:rowOff>-1390650</xdr:rowOff>
    </xdr:from>
    <xdr:to>
      <xdr:col>0</xdr:col>
      <xdr:colOff>-409575</xdr:colOff>
      <xdr:row>0</xdr:row>
      <xdr:rowOff>-1390650</xdr:rowOff>
    </xdr:to>
    <xdr:sp macro="" textlink="">
      <xdr:nvSpPr>
        <xdr:cNvPr id="15" name="TextBox 4">
          <a:extLst>
            <a:ext uri="{FF2B5EF4-FFF2-40B4-BE49-F238E27FC236}">
              <a16:creationId xmlns:a16="http://schemas.microsoft.com/office/drawing/2014/main" id="{A66C7BB3-60B9-4584-D390-068B90F641AB}"/>
            </a:ext>
            <a:ext uri="{147F2762-F138-4A5C-976F-8EAC2B608ADB}">
              <a16:predDERef xmlns:a16="http://schemas.microsoft.com/office/drawing/2014/main" pred="{B62AF4F6-416F-4EBB-9931-4FBBB80D6F80}"/>
            </a:ext>
          </a:extLst>
        </xdr:cNvPr>
        <xdr:cNvSpPr txBox="1"/>
      </xdr:nvSpPr>
      <xdr:spPr>
        <a:xfrm>
          <a:off x="-409575" y="-1390650"/>
          <a:ext cx="0" cy="0"/>
        </a:xfrm>
        <a:prstGeom prst="rect">
          <a:avLst/>
        </a:prstGeom>
        <a:solidFill>
          <a:srgbClr val="291C76"/>
        </a:solidFill>
        <a:ln w="9525" cmpd="sng">
          <a:noFill/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endParaRPr lang="en-US" sz="1100">
            <a:latin typeface="+mn-lt"/>
            <a:ea typeface="+mn-lt"/>
            <a:cs typeface="+mn-lt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-850%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-842%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488950</xdr:colOff>
      <xdr:row>1</xdr:row>
      <xdr:rowOff>63500</xdr:rowOff>
    </xdr:from>
    <xdr:to>
      <xdr:col>22</xdr:col>
      <xdr:colOff>336550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F8489-4E82-6DE4-797E-6405B313C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1B06A29-0D96-4FF7-A478-66FE37A8021A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star@mail.com" TargetMode="External"/><Relationship Id="rId3" Type="http://schemas.openxmlformats.org/officeDocument/2006/relationships/hyperlink" Target="mailto:digital@mail.com" TargetMode="External"/><Relationship Id="rId7" Type="http://schemas.openxmlformats.org/officeDocument/2006/relationships/hyperlink" Target="mailto:star@mail.com" TargetMode="External"/><Relationship Id="rId2" Type="http://schemas.openxmlformats.org/officeDocument/2006/relationships/hyperlink" Target="mailto:sumber@mail.com" TargetMode="External"/><Relationship Id="rId1" Type="http://schemas.openxmlformats.org/officeDocument/2006/relationships/hyperlink" Target="mailto:maju@mail.com" TargetMode="External"/><Relationship Id="rId6" Type="http://schemas.openxmlformats.org/officeDocument/2006/relationships/hyperlink" Target="mailto:star@mail.com" TargetMode="External"/><Relationship Id="rId5" Type="http://schemas.openxmlformats.org/officeDocument/2006/relationships/hyperlink" Target="mailto:star@mail.com" TargetMode="External"/><Relationship Id="rId4" Type="http://schemas.openxmlformats.org/officeDocument/2006/relationships/hyperlink" Target="mailto:solusi@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zoomScale="112" zoomScaleNormal="71" workbookViewId="0">
      <selection activeCell="C5" sqref="C5"/>
    </sheetView>
  </sheetViews>
  <sheetFormatPr defaultRowHeight="15" x14ac:dyDescent="0.25"/>
  <cols>
    <col min="2" max="2" width="19.28515625" customWidth="1"/>
    <col min="3" max="3" width="7.28515625" customWidth="1"/>
    <col min="4" max="4" width="8.42578125" customWidth="1"/>
    <col min="5" max="5" width="7.140625" customWidth="1"/>
    <col min="6" max="6" width="37.85546875" customWidth="1"/>
    <col min="7" max="7" width="6.5703125" hidden="1" customWidth="1"/>
    <col min="8" max="8" width="8.28515625" hidden="1" customWidth="1"/>
    <col min="9" max="9" width="13.85546875" hidden="1" customWidth="1"/>
    <col min="10" max="10" width="15.42578125" hidden="1" customWidth="1"/>
  </cols>
  <sheetData>
    <row r="1" spans="1:12" ht="36.75" x14ac:dyDescent="0.45">
      <c r="A1" s="122"/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x14ac:dyDescent="0.25">
      <c r="C2" s="36"/>
      <c r="D2" s="123"/>
      <c r="E2" s="123"/>
      <c r="F2" s="123"/>
      <c r="G2" s="123"/>
      <c r="H2" s="123"/>
      <c r="I2" s="123"/>
      <c r="J2" s="123"/>
      <c r="K2" s="123"/>
      <c r="L2" s="124"/>
    </row>
    <row r="4" spans="1:12" x14ac:dyDescent="0.25">
      <c r="C4" s="37" t="s">
        <v>230</v>
      </c>
      <c r="D4" s="37"/>
      <c r="E4" s="37"/>
      <c r="H4" s="37" t="s">
        <v>0</v>
      </c>
      <c r="I4" s="37"/>
      <c r="J4" s="37"/>
    </row>
    <row r="5" spans="1:12" x14ac:dyDescent="0.25">
      <c r="C5" s="12" t="s">
        <v>219</v>
      </c>
      <c r="D5" s="12" t="s">
        <v>234</v>
      </c>
      <c r="E5" s="12" t="s">
        <v>233</v>
      </c>
      <c r="G5" s="12" t="s">
        <v>1</v>
      </c>
      <c r="H5" s="12" t="s">
        <v>2</v>
      </c>
      <c r="I5" s="12" t="s">
        <v>3</v>
      </c>
      <c r="J5" s="12" t="s">
        <v>4</v>
      </c>
    </row>
    <row r="6" spans="1:12" x14ac:dyDescent="0.25">
      <c r="C6" s="19" t="s">
        <v>231</v>
      </c>
      <c r="D6" s="34" t="s">
        <v>217</v>
      </c>
      <c r="E6" s="35">
        <v>0.1</v>
      </c>
      <c r="G6" s="38" t="s">
        <v>5</v>
      </c>
      <c r="H6" s="41" t="s">
        <v>6</v>
      </c>
      <c r="I6" s="42">
        <f ca="1">DATE(YEAR(TODAY()),MONTH(TODAY()),1)</f>
        <v>45992</v>
      </c>
      <c r="J6" s="43">
        <f ca="1">EOMONTH(DATE(YEAR(TODAY()),MONTH(TODAY()),1),0)</f>
        <v>46022</v>
      </c>
    </row>
    <row r="7" spans="1:12" x14ac:dyDescent="0.25">
      <c r="C7" s="19" t="s">
        <v>232</v>
      </c>
      <c r="D7" s="34" t="s">
        <v>217</v>
      </c>
      <c r="E7" s="35">
        <v>0.1</v>
      </c>
      <c r="G7" s="39" t="s">
        <v>7</v>
      </c>
      <c r="H7" s="44" t="s">
        <v>8</v>
      </c>
      <c r="I7" s="45">
        <f ca="1">DATE(YEAR(TODAY()),MONTH(TODAY())-1,1)</f>
        <v>45962</v>
      </c>
      <c r="J7" s="46">
        <f ca="1">EOMONTH(DATE(YEAR(TODAY()),MONTH(TODAY()),1),-1)</f>
        <v>45991</v>
      </c>
    </row>
    <row r="8" spans="1:12" x14ac:dyDescent="0.25">
      <c r="G8" s="39" t="s">
        <v>9</v>
      </c>
      <c r="H8" s="44" t="s">
        <v>10</v>
      </c>
      <c r="I8" s="45">
        <f ca="1">DATE(YEAR(TODAY()),1,1)</f>
        <v>45658</v>
      </c>
      <c r="J8" s="46">
        <f ca="1">DATE(YEAR(TODAY()),12,31)</f>
        <v>46022</v>
      </c>
    </row>
    <row r="9" spans="1:12" x14ac:dyDescent="0.25">
      <c r="G9" s="39" t="s">
        <v>11</v>
      </c>
      <c r="H9" s="44" t="s">
        <v>12</v>
      </c>
      <c r="I9" s="45">
        <f ca="1">DATE(YEAR(TODAY())-1,1,1)</f>
        <v>45292</v>
      </c>
      <c r="J9" s="46">
        <f ca="1">DATE(YEAR(TODAY())-1,12,31)</f>
        <v>45657</v>
      </c>
    </row>
    <row r="10" spans="1:12" x14ac:dyDescent="0.25">
      <c r="G10" s="39" t="s">
        <v>13</v>
      </c>
      <c r="H10" s="44" t="s">
        <v>14</v>
      </c>
      <c r="I10" s="45">
        <f ca="1">TODAY()</f>
        <v>45997</v>
      </c>
      <c r="J10" s="46">
        <f ca="1">TODAY()</f>
        <v>45997</v>
      </c>
    </row>
    <row r="11" spans="1:12" x14ac:dyDescent="0.25">
      <c r="G11" s="39" t="s">
        <v>15</v>
      </c>
      <c r="H11" s="44" t="s">
        <v>16</v>
      </c>
      <c r="I11" s="45">
        <f ca="1">TODAY()-6</f>
        <v>45991</v>
      </c>
      <c r="J11" s="46">
        <f ca="1">TODAY()</f>
        <v>45997</v>
      </c>
    </row>
    <row r="12" spans="1:12" x14ac:dyDescent="0.25">
      <c r="G12" s="39" t="s">
        <v>17</v>
      </c>
      <c r="H12" s="47" t="s">
        <v>18</v>
      </c>
      <c r="I12" s="48">
        <f ca="1">TODAY()-14</f>
        <v>45983</v>
      </c>
      <c r="J12" s="49">
        <f ca="1">TODAY()</f>
        <v>45997</v>
      </c>
    </row>
    <row r="13" spans="1:12" x14ac:dyDescent="0.25">
      <c r="G13" s="39" t="s">
        <v>19</v>
      </c>
    </row>
    <row r="14" spans="1:12" x14ac:dyDescent="0.25">
      <c r="G14" s="39" t="s">
        <v>20</v>
      </c>
    </row>
    <row r="15" spans="1:12" x14ac:dyDescent="0.25">
      <c r="G15" s="39" t="s">
        <v>21</v>
      </c>
    </row>
    <row r="16" spans="1:12" x14ac:dyDescent="0.25">
      <c r="G16" s="39" t="s">
        <v>22</v>
      </c>
    </row>
    <row r="17" spans="7:7" x14ac:dyDescent="0.25">
      <c r="G17" s="40" t="s">
        <v>23</v>
      </c>
    </row>
  </sheetData>
  <mergeCells count="2">
    <mergeCell ref="A1:L1"/>
    <mergeCell ref="D2:L2"/>
  </mergeCells>
  <phoneticPr fontId="9" type="noConversion"/>
  <conditionalFormatting sqref="G6:G17 H6:J12">
    <cfRule type="expression" dxfId="28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6C679-220F-410C-AE9B-52BB2534218B}"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8"/>
  <sheetViews>
    <sheetView showGridLines="0" tabSelected="1" topLeftCell="C2" zoomScale="102" zoomScaleNormal="265" workbookViewId="0">
      <pane ySplit="7" topLeftCell="A9" activePane="bottomLeft" state="frozen"/>
      <selection activeCell="C2" sqref="C2"/>
      <selection pane="bottomLeft" activeCell="R4" sqref="R4"/>
    </sheetView>
  </sheetViews>
  <sheetFormatPr defaultRowHeight="15" x14ac:dyDescent="0.25"/>
  <cols>
    <col min="1" max="1" width="15.85546875" hidden="1" customWidth="1"/>
    <col min="2" max="2" width="11.85546875" hidden="1" customWidth="1"/>
    <col min="3" max="3" width="4.28515625" customWidth="1"/>
    <col min="4" max="4" width="28.7109375" hidden="1" customWidth="1"/>
    <col min="5" max="5" width="37.140625" hidden="1" customWidth="1"/>
    <col min="6" max="6" width="9.5703125" hidden="1" customWidth="1"/>
    <col min="7" max="7" width="19" hidden="1" customWidth="1"/>
    <col min="8" max="8" width="16.85546875" hidden="1" customWidth="1"/>
    <col min="9" max="9" width="3.85546875" hidden="1" customWidth="1"/>
    <col min="10" max="10" width="11.7109375" hidden="1" customWidth="1"/>
    <col min="11" max="11" width="9.28515625" hidden="1" customWidth="1"/>
    <col min="12" max="13" width="8.7109375" hidden="1" customWidth="1"/>
    <col min="14" max="14" width="47.28515625" hidden="1" customWidth="1"/>
    <col min="15" max="15" width="28.140625" hidden="1" customWidth="1"/>
    <col min="16" max="16" width="12.5703125" customWidth="1"/>
    <col min="17" max="17" width="17.7109375" customWidth="1"/>
    <col min="18" max="18" width="26.28515625" customWidth="1"/>
    <col min="19" max="20" width="12.5703125" customWidth="1"/>
    <col min="21" max="21" width="9.7109375" customWidth="1"/>
    <col min="22" max="22" width="15.7109375" customWidth="1"/>
    <col min="23" max="23" width="25.140625" customWidth="1"/>
    <col min="24" max="24" width="4" style="1" customWidth="1"/>
    <col min="25" max="26" width="4" hidden="1" customWidth="1"/>
    <col min="27" max="27" width="11.85546875" hidden="1" customWidth="1"/>
    <col min="28" max="28" width="18.140625" hidden="1" customWidth="1"/>
    <col min="29" max="29" width="14" hidden="1" customWidth="1"/>
    <col min="30" max="30" width="13.28515625" hidden="1" customWidth="1"/>
    <col min="31" max="31" width="10.85546875" hidden="1" customWidth="1"/>
    <col min="32" max="32" width="17.140625" hidden="1" customWidth="1"/>
    <col min="33" max="33" width="20.7109375" hidden="1" customWidth="1"/>
    <col min="34" max="34" width="22.85546875" hidden="1" customWidth="1"/>
    <col min="35" max="37" width="5" hidden="1" customWidth="1"/>
    <col min="38" max="38" width="12.7109375" hidden="1" customWidth="1"/>
    <col min="39" max="39" width="21.5703125" hidden="1" customWidth="1"/>
    <col min="40" max="40" width="29.85546875" hidden="1" customWidth="1"/>
    <col min="41" max="41" width="26" hidden="1" customWidth="1"/>
    <col min="42" max="42" width="15.85546875" hidden="1" customWidth="1"/>
    <col min="43" max="44" width="16.28515625" hidden="1" customWidth="1"/>
    <col min="45" max="45" width="14.7109375" hidden="1" customWidth="1"/>
    <col min="46" max="46" width="4.42578125" hidden="1" customWidth="1"/>
    <col min="47" max="47" width="6.28515625" hidden="1" customWidth="1"/>
    <col min="48" max="48" width="5.7109375" hidden="1" customWidth="1"/>
    <col min="49" max="56" width="8.7109375" hidden="1" customWidth="1"/>
  </cols>
  <sheetData>
    <row r="1" spans="1:46" ht="36.6" customHeight="1" x14ac:dyDescent="0.25">
      <c r="A1" s="65"/>
      <c r="B1" s="65"/>
    </row>
    <row r="2" spans="1:46" ht="47.45" customHeight="1" x14ac:dyDescent="0.25">
      <c r="A2" s="66" t="s">
        <v>24</v>
      </c>
      <c r="B2" s="66" t="s">
        <v>221</v>
      </c>
    </row>
    <row r="3" spans="1:46" ht="15.75" thickBot="1" x14ac:dyDescent="0.3">
      <c r="A3" s="67" t="s">
        <v>25</v>
      </c>
      <c r="B3" s="68" t="b">
        <v>0</v>
      </c>
    </row>
    <row r="4" spans="1:46" ht="18.600000000000001" customHeight="1" x14ac:dyDescent="0.25">
      <c r="A4" s="67" t="s">
        <v>26</v>
      </c>
      <c r="B4" s="68">
        <v>2</v>
      </c>
      <c r="C4" s="93"/>
      <c r="D4" s="79" t="str">
        <f>IF(B2="PURCHASES","PESANAN BELANJA #","PESANAN PENJUALAN#")&amp;B4</f>
        <v>PESANAN PENJUALAN#2</v>
      </c>
      <c r="E4" s="76" t="str">
        <f>IF(B2="SALES ORDER","PESANAN PENJUALAN","PESANAN BELANJA")</f>
        <v>PESANAN BELANJA</v>
      </c>
      <c r="F4" s="21"/>
      <c r="G4" s="71" t="s">
        <v>167</v>
      </c>
      <c r="H4" s="78">
        <v>45991</v>
      </c>
      <c r="J4" s="77" t="s">
        <v>168</v>
      </c>
      <c r="K4" s="80"/>
      <c r="P4" s="20"/>
      <c r="Q4" s="25" t="s">
        <v>161</v>
      </c>
      <c r="R4" s="26" t="s">
        <v>240</v>
      </c>
      <c r="S4" s="21"/>
      <c r="T4" s="21"/>
      <c r="U4" s="21"/>
      <c r="V4" s="21"/>
      <c r="W4" s="22"/>
      <c r="AA4" s="20"/>
      <c r="AB4" s="25" t="s">
        <v>162</v>
      </c>
      <c r="AC4" s="26" t="s">
        <v>239</v>
      </c>
      <c r="AD4" s="21"/>
      <c r="AE4" s="21"/>
      <c r="AF4" s="21"/>
      <c r="AG4" s="21"/>
      <c r="AH4" s="21"/>
      <c r="AI4" s="9"/>
      <c r="AL4" s="20"/>
      <c r="AM4" s="25" t="s">
        <v>163</v>
      </c>
      <c r="AN4" s="26" t="s">
        <v>238</v>
      </c>
      <c r="AO4" s="21"/>
      <c r="AP4" s="21"/>
      <c r="AQ4" s="21"/>
      <c r="AR4" s="21"/>
      <c r="AS4" s="21"/>
      <c r="AT4" s="9"/>
    </row>
    <row r="5" spans="1:46" x14ac:dyDescent="0.25">
      <c r="A5" s="67" t="s">
        <v>27</v>
      </c>
      <c r="B5" s="68">
        <f ca="1">IFERROR(MATCH(B4,Ord_ID,0)+3,"")</f>
        <v>5</v>
      </c>
      <c r="C5" s="93"/>
      <c r="D5" s="8" t="str">
        <f>IF(B2="SALES ORDER","Pelanggan","Pemasok")</f>
        <v>Pemasok</v>
      </c>
      <c r="E5" s="34" t="s">
        <v>95</v>
      </c>
      <c r="G5" s="72" t="s">
        <v>28</v>
      </c>
      <c r="H5" s="110">
        <f>SUM(H9:H108)</f>
        <v>12000</v>
      </c>
      <c r="P5" s="83"/>
      <c r="Q5" s="84"/>
      <c r="R5" s="84"/>
      <c r="S5" s="84"/>
      <c r="T5" s="84"/>
      <c r="U5" s="84"/>
      <c r="V5" s="84"/>
      <c r="W5" s="85"/>
      <c r="AA5" s="9"/>
      <c r="AI5" s="9"/>
      <c r="AL5" s="9"/>
      <c r="AT5" s="9"/>
    </row>
    <row r="6" spans="1:46" ht="14.45" hidden="1" customHeight="1" x14ac:dyDescent="0.25">
      <c r="A6" s="67" t="s">
        <v>29</v>
      </c>
      <c r="B6" s="68">
        <f ca="1">IFERROR(MAX(Ord_ID)+1,1)</f>
        <v>22</v>
      </c>
      <c r="C6" s="93"/>
      <c r="D6" s="9"/>
      <c r="E6" s="74" t="s">
        <v>96</v>
      </c>
      <c r="G6" s="72" t="s">
        <v>220</v>
      </c>
      <c r="H6" s="110" t="str">
        <f>IF(B2="PURCHASES",IF(PurchTaxOpt="Yes",H5*PurchTax,""),IF(SalestaxOpt="Yes",H5*SalesTax,""))</f>
        <v/>
      </c>
      <c r="P6" s="125" t="s">
        <v>164</v>
      </c>
      <c r="Q6" s="126"/>
      <c r="R6" s="126"/>
      <c r="S6" s="126"/>
      <c r="T6" s="126"/>
      <c r="U6" s="126"/>
      <c r="V6" s="126"/>
      <c r="W6" s="127"/>
      <c r="X6" s="92"/>
      <c r="AA6" s="125" t="s">
        <v>165</v>
      </c>
      <c r="AB6" s="126"/>
      <c r="AC6" s="126"/>
      <c r="AD6" s="126"/>
      <c r="AE6" s="126"/>
      <c r="AF6" s="126"/>
      <c r="AG6" s="126"/>
      <c r="AH6" s="126"/>
      <c r="AI6" s="88"/>
      <c r="AL6" s="125" t="s">
        <v>166</v>
      </c>
      <c r="AM6" s="126"/>
      <c r="AN6" s="126"/>
      <c r="AO6" s="126"/>
      <c r="AP6" s="126"/>
      <c r="AQ6" s="126"/>
      <c r="AR6" s="126"/>
      <c r="AS6" s="131"/>
      <c r="AT6" s="88"/>
    </row>
    <row r="7" spans="1:46" ht="15" customHeight="1" thickBot="1" x14ac:dyDescent="0.3">
      <c r="A7" s="67" t="s">
        <v>30</v>
      </c>
      <c r="B7" s="68"/>
      <c r="C7" s="93"/>
      <c r="D7" s="10"/>
      <c r="E7" s="75" t="s">
        <v>237</v>
      </c>
      <c r="F7" s="11"/>
      <c r="G7" s="73" t="s">
        <v>31</v>
      </c>
      <c r="H7" s="111">
        <f>SUM(H5:H6)</f>
        <v>12000</v>
      </c>
      <c r="I7" s="31"/>
      <c r="P7" s="128"/>
      <c r="Q7" s="129"/>
      <c r="R7" s="129"/>
      <c r="S7" s="129"/>
      <c r="T7" s="129"/>
      <c r="U7" s="129"/>
      <c r="V7" s="129"/>
      <c r="W7" s="130"/>
      <c r="X7" s="92"/>
      <c r="AA7" s="128"/>
      <c r="AB7" s="129"/>
      <c r="AC7" s="129"/>
      <c r="AD7" s="129"/>
      <c r="AE7" s="129"/>
      <c r="AF7" s="129"/>
      <c r="AG7" s="129"/>
      <c r="AH7" s="129"/>
      <c r="AI7" s="88"/>
      <c r="AL7" s="128"/>
      <c r="AM7" s="129"/>
      <c r="AN7" s="129"/>
      <c r="AO7" s="129"/>
      <c r="AP7" s="129"/>
      <c r="AQ7" s="129"/>
      <c r="AR7" s="129"/>
      <c r="AS7" s="132"/>
      <c r="AT7" s="88"/>
    </row>
    <row r="8" spans="1:46" ht="15.75" thickBot="1" x14ac:dyDescent="0.3">
      <c r="A8" s="67" t="s">
        <v>32</v>
      </c>
      <c r="B8" s="68" t="str">
        <f ca="1">IFERROR(MATCH(K4,Ord_ID,0)+3,"")</f>
        <v/>
      </c>
      <c r="C8" s="93"/>
      <c r="D8" s="5" t="s">
        <v>60</v>
      </c>
      <c r="E8" s="6" t="s">
        <v>61</v>
      </c>
      <c r="F8" s="6" t="s">
        <v>33</v>
      </c>
      <c r="G8" s="6" t="str">
        <f>IF(B2="SALES ORDER","Harga Pesanan","Harga Pembelian")</f>
        <v>Harga Pembelian</v>
      </c>
      <c r="H8" s="7" t="s">
        <v>31</v>
      </c>
      <c r="I8" s="31"/>
      <c r="P8" s="23" t="s">
        <v>34</v>
      </c>
      <c r="Q8" s="24" t="s">
        <v>35</v>
      </c>
      <c r="R8" s="24" t="s">
        <v>36</v>
      </c>
      <c r="S8" s="24" t="s">
        <v>37</v>
      </c>
      <c r="T8" s="24" t="s">
        <v>38</v>
      </c>
      <c r="U8" s="24" t="s">
        <v>39</v>
      </c>
      <c r="V8" s="24" t="s">
        <v>40</v>
      </c>
      <c r="W8" s="24" t="s">
        <v>41</v>
      </c>
      <c r="X8" s="86"/>
      <c r="AA8" s="23" t="s">
        <v>57</v>
      </c>
      <c r="AB8" s="24" t="s">
        <v>58</v>
      </c>
      <c r="AC8" s="24" t="s">
        <v>36</v>
      </c>
      <c r="AD8" s="24" t="s">
        <v>37</v>
      </c>
      <c r="AE8" s="24" t="s">
        <v>38</v>
      </c>
      <c r="AF8" s="24" t="s">
        <v>39</v>
      </c>
      <c r="AG8" s="24" t="s">
        <v>40</v>
      </c>
      <c r="AH8" s="87" t="s">
        <v>41</v>
      </c>
      <c r="AI8" s="89"/>
      <c r="AL8" s="81" t="s">
        <v>59</v>
      </c>
      <c r="AM8" s="82" t="s">
        <v>60</v>
      </c>
      <c r="AN8" s="82" t="s">
        <v>61</v>
      </c>
      <c r="AO8" s="82" t="s">
        <v>62</v>
      </c>
      <c r="AP8" s="82" t="s">
        <v>63</v>
      </c>
      <c r="AQ8" s="82" t="s">
        <v>64</v>
      </c>
      <c r="AR8" s="82" t="s">
        <v>65</v>
      </c>
      <c r="AS8" s="90" t="s">
        <v>66</v>
      </c>
      <c r="AT8" s="91"/>
    </row>
    <row r="9" spans="1:46" x14ac:dyDescent="0.25">
      <c r="A9" s="67" t="s">
        <v>42</v>
      </c>
      <c r="B9" s="68">
        <f ca="1">IFERROR(IF(B2="PURCHASES",MATCH(E5,Supp_Name,0)+3,MATCH(E5,Cust_Name,0)+3),"")</f>
        <v>9</v>
      </c>
      <c r="C9" s="93"/>
      <c r="D9" t="s">
        <v>157</v>
      </c>
      <c r="E9" t="s">
        <v>158</v>
      </c>
      <c r="F9">
        <v>1</v>
      </c>
      <c r="G9" s="108">
        <v>12000</v>
      </c>
      <c r="H9" s="104">
        <f>IF(AND(F9&lt;&gt;"",G9&lt;&gt;""),F9*G9,"")</f>
        <v>12000</v>
      </c>
      <c r="I9" s="31">
        <v>5</v>
      </c>
      <c r="P9" s="1">
        <v>1</v>
      </c>
      <c r="Q9" t="s">
        <v>67</v>
      </c>
      <c r="R9" t="s">
        <v>68</v>
      </c>
      <c r="S9" t="s">
        <v>70</v>
      </c>
      <c r="T9" t="s">
        <v>210</v>
      </c>
      <c r="U9">
        <v>57111</v>
      </c>
      <c r="V9" t="s">
        <v>71</v>
      </c>
      <c r="W9" t="s">
        <v>72</v>
      </c>
      <c r="X9" s="30">
        <v>4</v>
      </c>
      <c r="AA9" s="1">
        <v>3</v>
      </c>
      <c r="AB9" t="s">
        <v>124</v>
      </c>
      <c r="AC9" t="s">
        <v>125</v>
      </c>
      <c r="AD9" t="s">
        <v>69</v>
      </c>
      <c r="AE9" t="s">
        <v>70</v>
      </c>
      <c r="AF9">
        <v>55211</v>
      </c>
      <c r="AG9" t="s">
        <v>126</v>
      </c>
      <c r="AH9" t="s">
        <v>127</v>
      </c>
      <c r="AI9" s="30">
        <v>6</v>
      </c>
      <c r="AL9" s="1">
        <v>1</v>
      </c>
      <c r="AM9" t="s">
        <v>155</v>
      </c>
      <c r="AN9" t="s">
        <v>156</v>
      </c>
      <c r="AO9" t="s">
        <v>154</v>
      </c>
      <c r="AP9" s="108">
        <v>120000</v>
      </c>
      <c r="AQ9" s="108">
        <v>200000</v>
      </c>
      <c r="AR9">
        <v>10</v>
      </c>
      <c r="AS9" s="108">
        <v>1200000</v>
      </c>
      <c r="AT9" s="94">
        <v>4</v>
      </c>
    </row>
    <row r="10" spans="1:46" x14ac:dyDescent="0.25">
      <c r="A10" s="69" t="s">
        <v>44</v>
      </c>
      <c r="B10" s="70"/>
      <c r="C10" s="93"/>
      <c r="G10" s="108"/>
      <c r="H10" s="104" t="str">
        <f t="shared" ref="H10:H73" si="0">IF(AND(F10&lt;&gt;"",G10&lt;&gt;""),F10*G10,"")</f>
        <v/>
      </c>
      <c r="I10" s="31"/>
      <c r="P10" s="1">
        <v>2</v>
      </c>
      <c r="Q10" t="s">
        <v>73</v>
      </c>
      <c r="R10" t="s">
        <v>74</v>
      </c>
      <c r="S10" t="s">
        <v>75</v>
      </c>
      <c r="T10" t="s">
        <v>69</v>
      </c>
      <c r="U10">
        <v>50231</v>
      </c>
      <c r="V10" t="s">
        <v>76</v>
      </c>
      <c r="W10" s="28" t="s">
        <v>77</v>
      </c>
      <c r="X10" s="30">
        <v>5</v>
      </c>
      <c r="AA10" s="1">
        <v>4</v>
      </c>
      <c r="AB10" t="s">
        <v>128</v>
      </c>
      <c r="AC10" t="s">
        <v>129</v>
      </c>
      <c r="AD10" t="s">
        <v>80</v>
      </c>
      <c r="AE10" t="s">
        <v>81</v>
      </c>
      <c r="AF10">
        <v>40222</v>
      </c>
      <c r="AG10" t="s">
        <v>133</v>
      </c>
      <c r="AH10" t="s">
        <v>134</v>
      </c>
      <c r="AI10" s="30">
        <v>7</v>
      </c>
      <c r="AL10" s="1">
        <v>5</v>
      </c>
      <c r="AM10" t="s">
        <v>159</v>
      </c>
      <c r="AN10" t="s">
        <v>160</v>
      </c>
      <c r="AO10" t="s">
        <v>154</v>
      </c>
      <c r="AP10" s="109">
        <v>30000</v>
      </c>
      <c r="AQ10" s="109">
        <v>50000</v>
      </c>
      <c r="AR10">
        <v>0</v>
      </c>
      <c r="AS10" s="109">
        <v>0</v>
      </c>
      <c r="AT10" s="31">
        <v>8</v>
      </c>
    </row>
    <row r="11" spans="1:46" x14ac:dyDescent="0.25">
      <c r="A11" s="69" t="s">
        <v>45</v>
      </c>
      <c r="B11" s="70">
        <f ca="1">IFERROR(MAX(Cust_ID)+1,1)</f>
        <v>13</v>
      </c>
      <c r="C11" s="93"/>
      <c r="G11" s="108"/>
      <c r="H11" s="104" t="str">
        <f t="shared" si="0"/>
        <v/>
      </c>
      <c r="I11" s="31"/>
      <c r="P11" s="1">
        <v>3</v>
      </c>
      <c r="Q11" t="s">
        <v>78</v>
      </c>
      <c r="R11" t="s">
        <v>79</v>
      </c>
      <c r="S11" t="s">
        <v>81</v>
      </c>
      <c r="T11" t="s">
        <v>80</v>
      </c>
      <c r="U11">
        <v>55121</v>
      </c>
      <c r="V11" t="s">
        <v>82</v>
      </c>
      <c r="W11" s="28" t="s">
        <v>83</v>
      </c>
      <c r="X11" s="30">
        <v>6</v>
      </c>
      <c r="AA11" s="1">
        <v>5</v>
      </c>
      <c r="AB11" t="s">
        <v>130</v>
      </c>
      <c r="AC11" t="s">
        <v>131</v>
      </c>
      <c r="AD11" t="s">
        <v>132</v>
      </c>
      <c r="AE11" t="s">
        <v>91</v>
      </c>
      <c r="AF11">
        <v>67890</v>
      </c>
      <c r="AG11" t="s">
        <v>126</v>
      </c>
      <c r="AH11" t="s">
        <v>138</v>
      </c>
      <c r="AI11" s="31">
        <v>8</v>
      </c>
      <c r="AL11" s="1"/>
      <c r="AP11" s="109"/>
      <c r="AQ11" s="109"/>
      <c r="AS11" s="109"/>
      <c r="AT11" s="31"/>
    </row>
    <row r="12" spans="1:46" x14ac:dyDescent="0.25">
      <c r="A12" s="69" t="s">
        <v>46</v>
      </c>
      <c r="B12" s="70"/>
      <c r="G12" s="108"/>
      <c r="H12" s="104" t="str">
        <f t="shared" si="0"/>
        <v/>
      </c>
      <c r="I12" s="31"/>
      <c r="P12" s="1">
        <v>4</v>
      </c>
      <c r="Q12" t="s">
        <v>84</v>
      </c>
      <c r="R12" t="s">
        <v>85</v>
      </c>
      <c r="S12" t="s">
        <v>86</v>
      </c>
      <c r="T12" t="s">
        <v>69</v>
      </c>
      <c r="U12">
        <v>57711</v>
      </c>
      <c r="V12" t="s">
        <v>87</v>
      </c>
      <c r="W12" s="28" t="s">
        <v>94</v>
      </c>
      <c r="X12" s="30">
        <v>7</v>
      </c>
      <c r="AA12" s="1">
        <v>6</v>
      </c>
      <c r="AB12" t="s">
        <v>135</v>
      </c>
      <c r="AC12" t="s">
        <v>136</v>
      </c>
      <c r="AD12" t="s">
        <v>69</v>
      </c>
      <c r="AE12" t="s">
        <v>137</v>
      </c>
      <c r="AF12">
        <v>54321</v>
      </c>
      <c r="AG12" t="s">
        <v>133</v>
      </c>
      <c r="AH12" t="s">
        <v>138</v>
      </c>
      <c r="AI12" s="31">
        <v>9</v>
      </c>
      <c r="AL12" s="1"/>
      <c r="AP12" s="109"/>
      <c r="AQ12" s="109"/>
      <c r="AS12" s="109"/>
      <c r="AT12" s="31"/>
    </row>
    <row r="13" spans="1:46" x14ac:dyDescent="0.25">
      <c r="A13" s="69" t="s">
        <v>47</v>
      </c>
      <c r="B13" s="70">
        <f ca="1">IFERROR(MAX(Supp_ID)+1,1)</f>
        <v>12</v>
      </c>
      <c r="G13" s="104"/>
      <c r="H13" s="104" t="str">
        <f t="shared" si="0"/>
        <v/>
      </c>
      <c r="I13" s="31"/>
      <c r="P13" s="1">
        <v>5</v>
      </c>
      <c r="Q13" t="s">
        <v>88</v>
      </c>
      <c r="R13" t="s">
        <v>89</v>
      </c>
      <c r="S13" t="s">
        <v>90</v>
      </c>
      <c r="T13" t="s">
        <v>91</v>
      </c>
      <c r="U13">
        <v>75119</v>
      </c>
      <c r="V13" t="s">
        <v>92</v>
      </c>
      <c r="W13" s="28" t="s">
        <v>93</v>
      </c>
      <c r="X13" s="30">
        <v>8</v>
      </c>
      <c r="AA13" s="1">
        <v>10</v>
      </c>
      <c r="AB13" t="s">
        <v>54</v>
      </c>
      <c r="AC13" t="s">
        <v>229</v>
      </c>
      <c r="AD13" t="s">
        <v>227</v>
      </c>
      <c r="AE13" t="s">
        <v>228</v>
      </c>
      <c r="AF13">
        <v>45678</v>
      </c>
      <c r="AG13" t="s">
        <v>142</v>
      </c>
      <c r="AH13" t="s">
        <v>55</v>
      </c>
      <c r="AI13" s="31">
        <v>13</v>
      </c>
      <c r="AL13" s="1"/>
      <c r="AP13" s="109"/>
      <c r="AQ13" s="109"/>
      <c r="AS13" s="109"/>
      <c r="AT13" s="31"/>
    </row>
    <row r="14" spans="1:46" x14ac:dyDescent="0.25">
      <c r="A14" s="69" t="s">
        <v>48</v>
      </c>
      <c r="B14" s="70"/>
      <c r="G14" s="104"/>
      <c r="H14" s="104" t="str">
        <f t="shared" si="0"/>
        <v/>
      </c>
      <c r="I14" s="31"/>
      <c r="P14" s="1">
        <v>6</v>
      </c>
      <c r="Q14" t="s">
        <v>95</v>
      </c>
      <c r="R14" t="s">
        <v>96</v>
      </c>
      <c r="S14" t="s">
        <v>211</v>
      </c>
      <c r="T14" t="s">
        <v>69</v>
      </c>
      <c r="U14">
        <v>59311</v>
      </c>
      <c r="V14" t="s">
        <v>97</v>
      </c>
      <c r="W14" s="28" t="s">
        <v>98</v>
      </c>
      <c r="X14" s="30">
        <v>9</v>
      </c>
      <c r="AA14" s="1"/>
      <c r="AI14" s="31"/>
      <c r="AL14" s="1"/>
      <c r="AP14" s="105"/>
      <c r="AQ14" s="105"/>
      <c r="AS14" s="109"/>
      <c r="AT14" s="31"/>
    </row>
    <row r="15" spans="1:46" x14ac:dyDescent="0.25">
      <c r="A15" s="69" t="s">
        <v>49</v>
      </c>
      <c r="B15" s="70">
        <f ca="1">IFERROR(MAX(Prod_ID)+1,1)</f>
        <v>6</v>
      </c>
      <c r="G15" s="104"/>
      <c r="H15" s="104" t="str">
        <f t="shared" si="0"/>
        <v/>
      </c>
      <c r="I15" s="31"/>
      <c r="P15" s="1">
        <v>7</v>
      </c>
      <c r="Q15" t="s">
        <v>99</v>
      </c>
      <c r="R15" t="s">
        <v>100</v>
      </c>
      <c r="S15" t="s">
        <v>102</v>
      </c>
      <c r="T15" t="s">
        <v>101</v>
      </c>
      <c r="U15">
        <v>65117</v>
      </c>
      <c r="V15" t="s">
        <v>103</v>
      </c>
      <c r="W15" s="28" t="s">
        <v>104</v>
      </c>
      <c r="X15" s="30">
        <v>10</v>
      </c>
      <c r="AA15" s="1"/>
      <c r="AI15" s="31"/>
      <c r="AL15" s="1"/>
      <c r="AP15" s="105"/>
      <c r="AQ15" s="105"/>
      <c r="AS15" s="105"/>
      <c r="AT15" s="31"/>
    </row>
    <row r="16" spans="1:46" x14ac:dyDescent="0.25">
      <c r="A16" s="65"/>
      <c r="B16" s="65"/>
      <c r="G16" s="104"/>
      <c r="H16" s="104" t="str">
        <f t="shared" si="0"/>
        <v/>
      </c>
      <c r="I16" s="31"/>
      <c r="P16" s="1">
        <v>8</v>
      </c>
      <c r="Q16" t="s">
        <v>208</v>
      </c>
      <c r="R16" t="s">
        <v>209</v>
      </c>
      <c r="S16" t="s">
        <v>90</v>
      </c>
      <c r="T16" t="s">
        <v>212</v>
      </c>
      <c r="U16">
        <v>78200</v>
      </c>
      <c r="V16" t="s">
        <v>204</v>
      </c>
      <c r="W16" s="28" t="s">
        <v>222</v>
      </c>
      <c r="X16" s="30">
        <v>11</v>
      </c>
      <c r="AA16" s="1"/>
      <c r="AI16" s="31"/>
      <c r="AL16" s="1"/>
      <c r="AP16" s="105"/>
      <c r="AQ16" s="105"/>
      <c r="AS16" s="105"/>
      <c r="AT16" s="31"/>
    </row>
    <row r="17" spans="1:46" x14ac:dyDescent="0.25">
      <c r="A17" s="65"/>
      <c r="B17" s="65"/>
      <c r="G17" s="104"/>
      <c r="H17" s="104" t="str">
        <f t="shared" si="0"/>
        <v/>
      </c>
      <c r="I17" s="31"/>
      <c r="P17" s="1">
        <v>9</v>
      </c>
      <c r="Q17" t="s">
        <v>224</v>
      </c>
      <c r="R17" t="s">
        <v>223</v>
      </c>
      <c r="S17" t="s">
        <v>69</v>
      </c>
      <c r="T17" t="s">
        <v>213</v>
      </c>
      <c r="U17">
        <v>90212</v>
      </c>
      <c r="V17" t="s">
        <v>205</v>
      </c>
      <c r="W17" s="28" t="s">
        <v>50</v>
      </c>
      <c r="X17" s="30">
        <v>12</v>
      </c>
      <c r="AA17" s="1"/>
      <c r="AH17" s="28"/>
      <c r="AI17" s="31"/>
      <c r="AL17" s="1"/>
      <c r="AP17" s="105"/>
      <c r="AQ17" s="105"/>
      <c r="AS17" s="105"/>
      <c r="AT17" s="31"/>
    </row>
    <row r="18" spans="1:46" x14ac:dyDescent="0.25">
      <c r="A18" s="65"/>
      <c r="B18" s="65"/>
      <c r="G18" s="104"/>
      <c r="H18" s="104" t="str">
        <f t="shared" si="0"/>
        <v/>
      </c>
      <c r="I18" s="31"/>
      <c r="P18" s="1">
        <v>11</v>
      </c>
      <c r="Q18" t="s">
        <v>106</v>
      </c>
      <c r="R18" t="s">
        <v>107</v>
      </c>
      <c r="S18" t="s">
        <v>69</v>
      </c>
      <c r="T18" t="s">
        <v>108</v>
      </c>
      <c r="U18">
        <v>90232</v>
      </c>
      <c r="V18" t="s">
        <v>109</v>
      </c>
      <c r="W18" s="28" t="s">
        <v>110</v>
      </c>
      <c r="X18" s="30">
        <v>13</v>
      </c>
      <c r="AA18" s="1"/>
      <c r="AH18" s="28"/>
      <c r="AI18" s="31"/>
      <c r="AL18" s="1"/>
      <c r="AP18" s="105"/>
      <c r="AQ18" s="105"/>
      <c r="AS18" s="105"/>
      <c r="AT18" s="31"/>
    </row>
    <row r="19" spans="1:46" x14ac:dyDescent="0.25">
      <c r="A19" s="65"/>
      <c r="B19" s="65"/>
      <c r="G19" s="104"/>
      <c r="H19" s="104" t="str">
        <f t="shared" si="0"/>
        <v/>
      </c>
      <c r="I19" s="31"/>
      <c r="P19" s="1">
        <v>12</v>
      </c>
      <c r="Q19" t="s">
        <v>111</v>
      </c>
      <c r="R19" t="s">
        <v>112</v>
      </c>
      <c r="S19" t="s">
        <v>90</v>
      </c>
      <c r="T19" t="s">
        <v>113</v>
      </c>
      <c r="U19">
        <v>81281</v>
      </c>
      <c r="V19" t="s">
        <v>114</v>
      </c>
      <c r="W19" s="28" t="s">
        <v>115</v>
      </c>
      <c r="X19" s="30">
        <v>14</v>
      </c>
      <c r="AA19" s="1"/>
      <c r="AH19" s="28"/>
      <c r="AI19" s="31"/>
      <c r="AL19" s="1"/>
      <c r="AP19" s="105"/>
      <c r="AQ19" s="105"/>
      <c r="AS19" s="105"/>
      <c r="AT19" s="31"/>
    </row>
    <row r="20" spans="1:46" x14ac:dyDescent="0.25">
      <c r="A20" s="65"/>
      <c r="B20" s="65"/>
      <c r="G20" s="104"/>
      <c r="H20" s="104" t="str">
        <f t="shared" si="0"/>
        <v/>
      </c>
      <c r="I20" s="31"/>
      <c r="P20" s="1"/>
      <c r="W20" s="28"/>
      <c r="X20" s="30"/>
      <c r="AA20" s="1"/>
      <c r="AH20" s="28"/>
      <c r="AI20" s="31"/>
      <c r="AL20" s="1"/>
      <c r="AP20" s="105"/>
      <c r="AQ20" s="105"/>
      <c r="AS20" s="105"/>
      <c r="AT20" s="31"/>
    </row>
    <row r="21" spans="1:46" x14ac:dyDescent="0.25">
      <c r="A21" s="65"/>
      <c r="B21" s="65"/>
      <c r="G21" s="104"/>
      <c r="H21" s="104" t="str">
        <f t="shared" si="0"/>
        <v/>
      </c>
      <c r="I21" s="31"/>
      <c r="P21" s="1"/>
      <c r="X21" s="30"/>
      <c r="AA21" s="1"/>
      <c r="AI21" s="31"/>
      <c r="AL21" s="1"/>
      <c r="AP21" s="105"/>
      <c r="AQ21" s="105"/>
      <c r="AS21" s="105"/>
      <c r="AT21" s="31"/>
    </row>
    <row r="22" spans="1:46" x14ac:dyDescent="0.25">
      <c r="A22" s="65"/>
      <c r="B22" s="65"/>
      <c r="G22" s="104"/>
      <c r="H22" s="3" t="str">
        <f t="shared" si="0"/>
        <v/>
      </c>
      <c r="I22" s="31"/>
      <c r="P22" s="1"/>
      <c r="W22" s="28"/>
      <c r="X22" s="30"/>
      <c r="AA22" s="1"/>
      <c r="AH22" s="28"/>
      <c r="AI22" s="31"/>
      <c r="AL22" s="1"/>
      <c r="AP22" s="105"/>
      <c r="AQ22" s="105"/>
      <c r="AS22" s="105"/>
      <c r="AT22" s="31"/>
    </row>
    <row r="23" spans="1:46" x14ac:dyDescent="0.25">
      <c r="A23" s="65"/>
      <c r="B23" s="65"/>
      <c r="G23" s="104"/>
      <c r="H23" s="3" t="str">
        <f t="shared" si="0"/>
        <v/>
      </c>
      <c r="I23" s="31"/>
      <c r="P23" s="1"/>
      <c r="W23" s="28"/>
      <c r="X23" s="30"/>
      <c r="AA23" s="1"/>
      <c r="AH23" s="28"/>
      <c r="AI23" s="31"/>
      <c r="AL23" s="1"/>
      <c r="AP23" s="105"/>
      <c r="AQ23" s="29"/>
      <c r="AS23" s="105"/>
      <c r="AT23" s="31"/>
    </row>
    <row r="24" spans="1:46" x14ac:dyDescent="0.25">
      <c r="A24" s="65"/>
      <c r="B24" s="65"/>
      <c r="G24" s="104"/>
      <c r="H24" s="3" t="str">
        <f t="shared" si="0"/>
        <v/>
      </c>
      <c r="I24" s="31"/>
      <c r="P24" s="1"/>
      <c r="W24" s="28"/>
      <c r="X24" s="30"/>
      <c r="AA24" s="1"/>
      <c r="AI24" s="31"/>
      <c r="AL24" s="1"/>
      <c r="AP24" s="105"/>
      <c r="AQ24" s="29"/>
      <c r="AS24" s="29"/>
      <c r="AT24" s="31"/>
    </row>
    <row r="25" spans="1:46" x14ac:dyDescent="0.25">
      <c r="A25" s="65"/>
      <c r="B25" s="65"/>
      <c r="G25" s="104"/>
      <c r="H25" s="3" t="str">
        <f t="shared" si="0"/>
        <v/>
      </c>
      <c r="I25" s="31"/>
      <c r="P25" s="1"/>
      <c r="W25" s="28"/>
      <c r="X25" s="30"/>
      <c r="AA25" s="1"/>
      <c r="AI25" s="31"/>
      <c r="AL25" s="1"/>
      <c r="AP25" s="29"/>
      <c r="AQ25" s="29"/>
      <c r="AS25" s="29"/>
      <c r="AT25" s="31"/>
    </row>
    <row r="26" spans="1:46" x14ac:dyDescent="0.25">
      <c r="A26" s="65"/>
      <c r="B26" s="65"/>
      <c r="G26" s="104"/>
      <c r="H26" s="3" t="str">
        <f t="shared" si="0"/>
        <v/>
      </c>
      <c r="I26" s="31"/>
      <c r="P26" s="1"/>
      <c r="X26" s="30"/>
      <c r="AA26" s="1"/>
      <c r="AI26" s="31"/>
      <c r="AL26" s="1"/>
      <c r="AP26" s="29"/>
      <c r="AQ26" s="29"/>
      <c r="AS26" s="29"/>
      <c r="AT26" s="31"/>
    </row>
    <row r="27" spans="1:46" x14ac:dyDescent="0.25">
      <c r="A27" s="65"/>
      <c r="B27" s="65"/>
      <c r="G27" s="104"/>
      <c r="H27" s="3" t="str">
        <f t="shared" si="0"/>
        <v/>
      </c>
      <c r="I27" s="31"/>
      <c r="P27" s="1"/>
      <c r="X27" s="30"/>
      <c r="AA27" s="1"/>
      <c r="AI27" s="31"/>
      <c r="AL27" s="1"/>
      <c r="AP27" s="29"/>
      <c r="AQ27" s="29"/>
      <c r="AS27" s="29"/>
      <c r="AT27" s="31"/>
    </row>
    <row r="28" spans="1:46" x14ac:dyDescent="0.25">
      <c r="A28" s="65"/>
      <c r="B28" s="65"/>
      <c r="G28" s="104"/>
      <c r="H28" s="3" t="str">
        <f t="shared" si="0"/>
        <v/>
      </c>
      <c r="I28" s="31"/>
      <c r="P28" s="1"/>
      <c r="X28" s="30"/>
      <c r="AA28" s="1"/>
      <c r="AI28" s="31"/>
      <c r="AL28" s="1"/>
      <c r="AP28" s="29"/>
      <c r="AQ28" s="29"/>
      <c r="AS28" s="29"/>
      <c r="AT28" s="31"/>
    </row>
    <row r="29" spans="1:46" x14ac:dyDescent="0.25">
      <c r="A29" s="65"/>
      <c r="B29" s="65"/>
      <c r="G29" s="104"/>
      <c r="H29" s="3" t="str">
        <f t="shared" si="0"/>
        <v/>
      </c>
      <c r="I29" s="31"/>
      <c r="P29" s="1"/>
      <c r="X29" s="30"/>
      <c r="AA29" s="1"/>
      <c r="AI29" s="31"/>
      <c r="AL29" s="1"/>
      <c r="AP29" s="29"/>
      <c r="AQ29" s="29"/>
      <c r="AS29" s="29"/>
      <c r="AT29" s="31"/>
    </row>
    <row r="30" spans="1:46" x14ac:dyDescent="0.25">
      <c r="A30" s="65"/>
      <c r="B30" s="65"/>
      <c r="G30" s="104"/>
      <c r="H30" s="3" t="str">
        <f t="shared" si="0"/>
        <v/>
      </c>
      <c r="I30" s="31"/>
      <c r="P30" s="1"/>
      <c r="X30" s="30"/>
      <c r="AA30" s="1"/>
      <c r="AI30" s="31"/>
      <c r="AL30" s="1"/>
      <c r="AP30" s="29"/>
      <c r="AQ30" s="29"/>
      <c r="AS30" s="29"/>
      <c r="AT30" s="31"/>
    </row>
    <row r="31" spans="1:46" x14ac:dyDescent="0.25">
      <c r="A31" s="65"/>
      <c r="B31" s="65"/>
      <c r="G31" s="104"/>
      <c r="H31" s="3" t="str">
        <f t="shared" si="0"/>
        <v/>
      </c>
      <c r="I31" s="31"/>
      <c r="P31" s="1"/>
      <c r="X31" s="30"/>
      <c r="AA31" s="1"/>
      <c r="AI31" s="31"/>
      <c r="AL31" s="1"/>
      <c r="AP31" s="29"/>
      <c r="AQ31" s="29"/>
      <c r="AS31" s="29"/>
      <c r="AT31" s="31"/>
    </row>
    <row r="32" spans="1:46" x14ac:dyDescent="0.25">
      <c r="A32" s="65"/>
      <c r="B32" s="65"/>
      <c r="G32" s="3"/>
      <c r="H32" s="3" t="str">
        <f t="shared" si="0"/>
        <v/>
      </c>
      <c r="I32" s="31"/>
      <c r="P32" s="1"/>
      <c r="X32" s="30"/>
      <c r="AA32" s="1"/>
      <c r="AI32" s="31"/>
      <c r="AL32" s="1"/>
      <c r="AP32" s="29"/>
      <c r="AQ32" s="29"/>
      <c r="AS32" s="29"/>
      <c r="AT32" s="31"/>
    </row>
    <row r="33" spans="1:46" x14ac:dyDescent="0.25">
      <c r="A33" s="65"/>
      <c r="B33" s="65"/>
      <c r="G33" s="3"/>
      <c r="H33" s="3" t="str">
        <f t="shared" si="0"/>
        <v/>
      </c>
      <c r="I33" s="31"/>
      <c r="P33" s="1"/>
      <c r="X33" s="30"/>
      <c r="AA33" s="1"/>
      <c r="AI33" s="31"/>
      <c r="AL33" s="1"/>
      <c r="AP33" s="29"/>
      <c r="AQ33" s="29"/>
      <c r="AS33" s="29"/>
      <c r="AT33" s="31"/>
    </row>
    <row r="34" spans="1:46" x14ac:dyDescent="0.25">
      <c r="A34" s="65"/>
      <c r="B34" s="65"/>
      <c r="G34" s="3"/>
      <c r="H34" s="3" t="str">
        <f t="shared" si="0"/>
        <v/>
      </c>
      <c r="I34" s="31"/>
      <c r="P34" s="1"/>
      <c r="X34" s="30"/>
      <c r="AA34" s="1"/>
      <c r="AI34" s="31"/>
      <c r="AL34" s="1"/>
      <c r="AP34" s="29"/>
      <c r="AQ34" s="29"/>
      <c r="AS34" s="29"/>
      <c r="AT34" s="31"/>
    </row>
    <row r="35" spans="1:46" x14ac:dyDescent="0.25">
      <c r="A35" s="65"/>
      <c r="B35" s="65"/>
      <c r="G35" s="3"/>
      <c r="H35" s="3" t="str">
        <f t="shared" si="0"/>
        <v/>
      </c>
      <c r="I35" s="31"/>
      <c r="P35" s="1"/>
      <c r="AA35" s="1"/>
      <c r="AI35" s="31"/>
      <c r="AL35" s="1"/>
      <c r="AP35" s="29"/>
      <c r="AQ35" s="29"/>
      <c r="AS35" s="29"/>
      <c r="AT35" s="31"/>
    </row>
    <row r="36" spans="1:46" x14ac:dyDescent="0.25">
      <c r="A36" s="65"/>
      <c r="B36" s="65"/>
      <c r="G36" s="3"/>
      <c r="H36" s="3" t="str">
        <f t="shared" si="0"/>
        <v/>
      </c>
      <c r="I36" s="31"/>
      <c r="P36" s="1"/>
      <c r="AA36" s="1"/>
      <c r="AI36" s="31"/>
      <c r="AL36" s="1"/>
      <c r="AP36" s="29"/>
      <c r="AQ36" s="29"/>
      <c r="AS36" s="29"/>
      <c r="AT36" s="31"/>
    </row>
    <row r="37" spans="1:46" x14ac:dyDescent="0.25">
      <c r="A37" s="65"/>
      <c r="B37" s="65"/>
      <c r="G37" s="3"/>
      <c r="H37" s="3" t="str">
        <f t="shared" si="0"/>
        <v/>
      </c>
      <c r="I37" s="31"/>
      <c r="P37" s="1"/>
      <c r="AA37" s="1"/>
      <c r="AI37" s="31"/>
      <c r="AL37" s="1"/>
      <c r="AP37" s="29"/>
      <c r="AQ37" s="29"/>
      <c r="AS37" s="29"/>
      <c r="AT37" s="31"/>
    </row>
    <row r="38" spans="1:46" x14ac:dyDescent="0.25">
      <c r="A38" s="65"/>
      <c r="B38" s="65"/>
      <c r="G38" s="3"/>
      <c r="H38" s="3" t="str">
        <f t="shared" si="0"/>
        <v/>
      </c>
      <c r="I38" s="31"/>
      <c r="P38" s="1"/>
      <c r="AA38" s="1"/>
      <c r="AI38" s="31"/>
      <c r="AL38" s="1"/>
      <c r="AP38" s="29"/>
      <c r="AQ38" s="29"/>
      <c r="AS38" s="29"/>
      <c r="AT38" s="31"/>
    </row>
    <row r="39" spans="1:46" x14ac:dyDescent="0.25">
      <c r="A39" s="65"/>
      <c r="B39" s="65"/>
      <c r="G39" s="3"/>
      <c r="H39" s="3" t="str">
        <f t="shared" si="0"/>
        <v/>
      </c>
      <c r="I39" s="31"/>
      <c r="P39" s="1"/>
      <c r="AA39" s="1"/>
      <c r="AI39" s="31"/>
      <c r="AL39" s="1"/>
      <c r="AP39" s="29"/>
      <c r="AQ39" s="29"/>
      <c r="AS39" s="29"/>
      <c r="AT39" s="31"/>
    </row>
    <row r="40" spans="1:46" x14ac:dyDescent="0.25">
      <c r="A40" s="65"/>
      <c r="B40" s="65"/>
      <c r="G40" s="3"/>
      <c r="H40" s="3" t="str">
        <f t="shared" si="0"/>
        <v/>
      </c>
      <c r="P40" s="1"/>
      <c r="AA40" s="1"/>
      <c r="AI40" s="31"/>
      <c r="AL40" s="1"/>
      <c r="AP40" s="29"/>
      <c r="AQ40" s="29"/>
      <c r="AS40" s="29"/>
      <c r="AT40" s="31"/>
    </row>
    <row r="41" spans="1:46" x14ac:dyDescent="0.25">
      <c r="A41" s="65"/>
      <c r="B41" s="65"/>
      <c r="G41" s="3"/>
      <c r="H41" s="3" t="str">
        <f t="shared" si="0"/>
        <v/>
      </c>
      <c r="P41" s="1"/>
      <c r="AA41" s="1"/>
      <c r="AI41" s="31"/>
      <c r="AL41" s="1"/>
      <c r="AP41" s="29"/>
      <c r="AQ41" s="29"/>
      <c r="AS41" s="29"/>
      <c r="AT41" s="31"/>
    </row>
    <row r="42" spans="1:46" x14ac:dyDescent="0.25">
      <c r="A42" s="65"/>
      <c r="B42" s="65"/>
      <c r="G42" s="3"/>
      <c r="H42" s="3" t="str">
        <f t="shared" si="0"/>
        <v/>
      </c>
      <c r="P42" s="1"/>
      <c r="AA42" s="1"/>
      <c r="AI42" s="31"/>
      <c r="AL42" s="1"/>
      <c r="AP42" s="29"/>
      <c r="AQ42" s="29"/>
      <c r="AS42" s="29"/>
      <c r="AT42" s="31"/>
    </row>
    <row r="43" spans="1:46" x14ac:dyDescent="0.25">
      <c r="A43" s="65"/>
      <c r="B43" s="65"/>
      <c r="G43" s="3"/>
      <c r="H43" s="3" t="str">
        <f t="shared" si="0"/>
        <v/>
      </c>
      <c r="P43" s="1"/>
      <c r="AA43" s="1"/>
      <c r="AI43" s="31"/>
      <c r="AL43" s="1"/>
      <c r="AP43" s="29"/>
      <c r="AQ43" s="29"/>
      <c r="AS43" s="29"/>
      <c r="AT43" s="31"/>
    </row>
    <row r="44" spans="1:46" x14ac:dyDescent="0.25">
      <c r="A44" s="65"/>
      <c r="B44" s="65"/>
      <c r="G44" s="3"/>
      <c r="H44" s="3" t="str">
        <f t="shared" si="0"/>
        <v/>
      </c>
      <c r="P44" s="1"/>
      <c r="AA44" s="1"/>
      <c r="AI44" s="31"/>
      <c r="AP44" s="29"/>
      <c r="AQ44" s="29"/>
      <c r="AS44" s="29"/>
      <c r="AT44" s="31"/>
    </row>
    <row r="45" spans="1:46" x14ac:dyDescent="0.25">
      <c r="A45" s="65"/>
      <c r="B45" s="65"/>
      <c r="G45" s="3"/>
      <c r="H45" s="3" t="str">
        <f t="shared" si="0"/>
        <v/>
      </c>
      <c r="P45" s="1"/>
      <c r="AA45" s="1"/>
      <c r="AI45" s="31"/>
      <c r="AP45" s="29"/>
      <c r="AQ45" s="29"/>
      <c r="AS45" s="29"/>
      <c r="AT45" s="31"/>
    </row>
    <row r="46" spans="1:46" x14ac:dyDescent="0.25">
      <c r="G46" s="3"/>
      <c r="H46" s="3" t="str">
        <f t="shared" si="0"/>
        <v/>
      </c>
      <c r="P46" s="1"/>
      <c r="AA46" s="1"/>
      <c r="AI46" s="31"/>
      <c r="AP46" s="29"/>
      <c r="AQ46" s="29"/>
      <c r="AS46" s="29"/>
      <c r="AT46" s="31"/>
    </row>
    <row r="47" spans="1:46" x14ac:dyDescent="0.25">
      <c r="G47" s="3"/>
      <c r="H47" s="3" t="str">
        <f t="shared" si="0"/>
        <v/>
      </c>
      <c r="P47" s="1"/>
      <c r="AA47" s="1"/>
      <c r="AI47" s="31"/>
      <c r="AP47" s="29"/>
      <c r="AQ47" s="29"/>
      <c r="AS47" s="29"/>
      <c r="AT47" s="31"/>
    </row>
    <row r="48" spans="1:46" x14ac:dyDescent="0.25">
      <c r="G48" s="3"/>
      <c r="H48" s="3" t="str">
        <f t="shared" si="0"/>
        <v/>
      </c>
      <c r="P48" s="1"/>
      <c r="AA48" s="1"/>
      <c r="AI48" s="31"/>
      <c r="AP48" s="29"/>
      <c r="AQ48" s="29"/>
      <c r="AS48" s="29"/>
      <c r="AT48" s="31"/>
    </row>
    <row r="49" spans="7:46" x14ac:dyDescent="0.25">
      <c r="G49" s="3"/>
      <c r="H49" s="3" t="str">
        <f t="shared" si="0"/>
        <v/>
      </c>
      <c r="P49" s="1"/>
      <c r="AA49" s="1"/>
      <c r="AI49" s="31"/>
      <c r="AP49" s="29"/>
      <c r="AQ49" s="29"/>
      <c r="AS49" s="29"/>
      <c r="AT49" s="31"/>
    </row>
    <row r="50" spans="7:46" x14ac:dyDescent="0.25">
      <c r="G50" s="3"/>
      <c r="H50" s="3" t="str">
        <f t="shared" si="0"/>
        <v/>
      </c>
      <c r="P50" s="1"/>
      <c r="AA50" s="1"/>
      <c r="AI50" s="31"/>
      <c r="AP50" s="29"/>
      <c r="AQ50" s="29"/>
      <c r="AS50" s="29"/>
      <c r="AT50" s="31"/>
    </row>
    <row r="51" spans="7:46" x14ac:dyDescent="0.25">
      <c r="G51" s="3"/>
      <c r="H51" s="3" t="str">
        <f t="shared" si="0"/>
        <v/>
      </c>
      <c r="P51" s="1"/>
      <c r="AA51" s="1"/>
      <c r="AI51" s="31"/>
      <c r="AP51" s="29"/>
      <c r="AQ51" s="29"/>
      <c r="AS51" s="29"/>
      <c r="AT51" s="31"/>
    </row>
    <row r="52" spans="7:46" x14ac:dyDescent="0.25">
      <c r="G52" s="3"/>
      <c r="H52" s="3" t="str">
        <f t="shared" si="0"/>
        <v/>
      </c>
      <c r="P52" s="1"/>
      <c r="AA52" s="1"/>
      <c r="AI52" s="31"/>
      <c r="AP52" s="29"/>
      <c r="AQ52" s="29"/>
      <c r="AS52" s="29"/>
      <c r="AT52" s="31"/>
    </row>
    <row r="53" spans="7:46" x14ac:dyDescent="0.25">
      <c r="G53" s="3"/>
      <c r="H53" s="3" t="str">
        <f t="shared" si="0"/>
        <v/>
      </c>
      <c r="P53" s="1"/>
      <c r="AA53" s="1"/>
      <c r="AI53" s="31"/>
      <c r="AP53" s="29"/>
      <c r="AQ53" s="29"/>
      <c r="AS53" s="29"/>
      <c r="AT53" s="31"/>
    </row>
    <row r="54" spans="7:46" x14ac:dyDescent="0.25">
      <c r="G54" s="3"/>
      <c r="H54" s="3" t="str">
        <f t="shared" si="0"/>
        <v/>
      </c>
      <c r="P54" s="1"/>
      <c r="AA54" s="1"/>
      <c r="AI54" s="31"/>
      <c r="AP54" s="29"/>
      <c r="AQ54" s="29"/>
      <c r="AS54" s="29"/>
      <c r="AT54" s="31"/>
    </row>
    <row r="55" spans="7:46" x14ac:dyDescent="0.25">
      <c r="G55" s="3"/>
      <c r="H55" s="3" t="str">
        <f t="shared" si="0"/>
        <v/>
      </c>
      <c r="P55" s="1"/>
      <c r="AA55" s="1"/>
      <c r="AI55" s="31"/>
      <c r="AP55" s="29"/>
      <c r="AQ55" s="29"/>
      <c r="AS55" s="29"/>
      <c r="AT55" s="31"/>
    </row>
    <row r="56" spans="7:46" x14ac:dyDescent="0.25">
      <c r="G56" s="3"/>
      <c r="H56" s="3" t="str">
        <f t="shared" si="0"/>
        <v/>
      </c>
      <c r="P56" s="1"/>
      <c r="AA56" s="1"/>
      <c r="AI56" s="31"/>
      <c r="AP56" s="29"/>
      <c r="AQ56" s="29"/>
      <c r="AS56" s="29"/>
      <c r="AT56" s="31"/>
    </row>
    <row r="57" spans="7:46" x14ac:dyDescent="0.25">
      <c r="G57" s="3"/>
      <c r="H57" s="3" t="str">
        <f t="shared" si="0"/>
        <v/>
      </c>
      <c r="P57" s="1"/>
      <c r="AA57" s="1"/>
      <c r="AI57" s="31"/>
      <c r="AP57" s="29"/>
      <c r="AQ57" s="29"/>
      <c r="AS57" s="29"/>
      <c r="AT57" s="31"/>
    </row>
    <row r="58" spans="7:46" x14ac:dyDescent="0.25">
      <c r="G58" s="3"/>
      <c r="H58" s="3" t="str">
        <f t="shared" si="0"/>
        <v/>
      </c>
      <c r="P58" s="1"/>
      <c r="AA58" s="1"/>
      <c r="AI58" s="31"/>
      <c r="AP58" s="29"/>
      <c r="AQ58" s="29"/>
      <c r="AS58" s="29"/>
      <c r="AT58" s="31"/>
    </row>
    <row r="59" spans="7:46" x14ac:dyDescent="0.25">
      <c r="G59" s="3"/>
      <c r="H59" s="3" t="str">
        <f t="shared" si="0"/>
        <v/>
      </c>
      <c r="AA59" s="1"/>
      <c r="AI59" s="31"/>
      <c r="AP59" s="29"/>
      <c r="AQ59" s="29"/>
      <c r="AS59" s="29"/>
      <c r="AT59" s="31"/>
    </row>
    <row r="60" spans="7:46" x14ac:dyDescent="0.25">
      <c r="G60" s="3"/>
      <c r="H60" s="3" t="str">
        <f t="shared" si="0"/>
        <v/>
      </c>
      <c r="AA60" s="1"/>
      <c r="AI60" s="31"/>
      <c r="AP60" s="29"/>
      <c r="AQ60" s="29"/>
      <c r="AS60" s="29"/>
      <c r="AT60" s="31"/>
    </row>
    <row r="61" spans="7:46" x14ac:dyDescent="0.25">
      <c r="G61" s="3"/>
      <c r="H61" s="3" t="str">
        <f t="shared" si="0"/>
        <v/>
      </c>
      <c r="AA61" s="1"/>
      <c r="AI61" s="31"/>
      <c r="AP61" s="29"/>
      <c r="AQ61" s="29"/>
      <c r="AS61" s="29"/>
      <c r="AT61" s="31"/>
    </row>
    <row r="62" spans="7:46" x14ac:dyDescent="0.25">
      <c r="G62" s="3"/>
      <c r="H62" s="3" t="str">
        <f t="shared" si="0"/>
        <v/>
      </c>
      <c r="AA62" s="1"/>
      <c r="AP62" s="29"/>
      <c r="AQ62" s="29"/>
      <c r="AS62" s="29"/>
      <c r="AT62" s="31"/>
    </row>
    <row r="63" spans="7:46" x14ac:dyDescent="0.25">
      <c r="G63" s="3"/>
      <c r="H63" s="3" t="str">
        <f t="shared" si="0"/>
        <v/>
      </c>
      <c r="AA63" s="1"/>
      <c r="AP63" s="29"/>
      <c r="AQ63" s="29"/>
      <c r="AS63" s="29"/>
      <c r="AT63" s="31"/>
    </row>
    <row r="64" spans="7:46" x14ac:dyDescent="0.25">
      <c r="G64" s="3"/>
      <c r="H64" s="3" t="str">
        <f t="shared" si="0"/>
        <v/>
      </c>
      <c r="AA64" s="1"/>
      <c r="AP64" s="29"/>
      <c r="AQ64" s="29"/>
      <c r="AS64" s="29"/>
      <c r="AT64" s="31"/>
    </row>
    <row r="65" spans="7:46" x14ac:dyDescent="0.25">
      <c r="G65" s="3"/>
      <c r="H65" s="3" t="str">
        <f t="shared" si="0"/>
        <v/>
      </c>
      <c r="AA65" s="1"/>
      <c r="AP65" s="29"/>
      <c r="AQ65" s="29"/>
      <c r="AS65" s="29"/>
      <c r="AT65" s="31"/>
    </row>
    <row r="66" spans="7:46" x14ac:dyDescent="0.25">
      <c r="G66" s="3"/>
      <c r="H66" s="3" t="str">
        <f t="shared" si="0"/>
        <v/>
      </c>
      <c r="AA66" s="1"/>
      <c r="AP66" s="29"/>
      <c r="AQ66" s="29"/>
      <c r="AS66" s="29"/>
      <c r="AT66" s="31"/>
    </row>
    <row r="67" spans="7:46" x14ac:dyDescent="0.25">
      <c r="G67" s="3"/>
      <c r="H67" s="3" t="str">
        <f t="shared" si="0"/>
        <v/>
      </c>
      <c r="AA67" s="1"/>
      <c r="AP67" s="29"/>
      <c r="AQ67" s="29"/>
      <c r="AS67" s="29"/>
      <c r="AT67" s="31"/>
    </row>
    <row r="68" spans="7:46" x14ac:dyDescent="0.25">
      <c r="G68" s="3"/>
      <c r="H68" s="3" t="str">
        <f t="shared" si="0"/>
        <v/>
      </c>
      <c r="AA68" s="1"/>
      <c r="AP68" s="29"/>
      <c r="AQ68" s="29"/>
      <c r="AS68" s="29"/>
      <c r="AT68" s="31"/>
    </row>
    <row r="69" spans="7:46" x14ac:dyDescent="0.25">
      <c r="G69" s="3"/>
      <c r="H69" s="3" t="str">
        <f t="shared" si="0"/>
        <v/>
      </c>
      <c r="AA69" s="1"/>
      <c r="AP69" s="29"/>
      <c r="AQ69" s="29"/>
      <c r="AS69" s="29"/>
      <c r="AT69" s="31"/>
    </row>
    <row r="70" spans="7:46" x14ac:dyDescent="0.25">
      <c r="G70" s="3"/>
      <c r="H70" s="3" t="str">
        <f t="shared" si="0"/>
        <v/>
      </c>
      <c r="AA70" s="1"/>
      <c r="AP70" s="29"/>
      <c r="AQ70" s="29"/>
      <c r="AS70" s="29"/>
      <c r="AT70" s="31"/>
    </row>
    <row r="71" spans="7:46" x14ac:dyDescent="0.25">
      <c r="G71" s="3"/>
      <c r="H71" s="3" t="str">
        <f t="shared" si="0"/>
        <v/>
      </c>
      <c r="AA71" s="1"/>
      <c r="AP71" s="29"/>
      <c r="AQ71" s="29"/>
      <c r="AS71" s="29"/>
      <c r="AT71" s="31"/>
    </row>
    <row r="72" spans="7:46" x14ac:dyDescent="0.25">
      <c r="G72" s="3"/>
      <c r="H72" s="3" t="str">
        <f t="shared" si="0"/>
        <v/>
      </c>
      <c r="AA72" s="1"/>
      <c r="AP72" s="29"/>
      <c r="AQ72" s="29"/>
      <c r="AS72" s="29"/>
      <c r="AT72" s="31"/>
    </row>
    <row r="73" spans="7:46" x14ac:dyDescent="0.25">
      <c r="G73" s="3"/>
      <c r="H73" s="3" t="str">
        <f t="shared" si="0"/>
        <v/>
      </c>
      <c r="AA73" s="1"/>
      <c r="AP73" s="29"/>
      <c r="AQ73" s="29"/>
      <c r="AS73" s="29"/>
      <c r="AT73" s="31"/>
    </row>
    <row r="74" spans="7:46" x14ac:dyDescent="0.25">
      <c r="G74" s="3"/>
      <c r="H74" s="3" t="str">
        <f t="shared" ref="H74:H108" si="1">IF(AND(F74&lt;&gt;"",G74&lt;&gt;""),F74*G74,"")</f>
        <v/>
      </c>
      <c r="AA74" s="1"/>
      <c r="AP74" s="29"/>
      <c r="AQ74" s="29"/>
      <c r="AS74" s="29"/>
      <c r="AT74" s="31"/>
    </row>
    <row r="75" spans="7:46" x14ac:dyDescent="0.25">
      <c r="G75" s="3"/>
      <c r="H75" s="3" t="str">
        <f t="shared" si="1"/>
        <v/>
      </c>
      <c r="AA75" s="1"/>
      <c r="AT75" s="31"/>
    </row>
    <row r="76" spans="7:46" x14ac:dyDescent="0.25">
      <c r="G76" s="3"/>
      <c r="H76" s="3" t="str">
        <f t="shared" si="1"/>
        <v/>
      </c>
      <c r="AA76" s="1"/>
      <c r="AT76" s="31"/>
    </row>
    <row r="77" spans="7:46" x14ac:dyDescent="0.25">
      <c r="G77" s="3"/>
      <c r="H77" s="3" t="str">
        <f t="shared" si="1"/>
        <v/>
      </c>
      <c r="AA77" s="1"/>
      <c r="AT77" s="31"/>
    </row>
    <row r="78" spans="7:46" x14ac:dyDescent="0.25">
      <c r="G78" s="3"/>
      <c r="H78" s="3" t="str">
        <f t="shared" si="1"/>
        <v/>
      </c>
      <c r="AA78" s="1"/>
      <c r="AT78" s="31"/>
    </row>
    <row r="79" spans="7:46" x14ac:dyDescent="0.25">
      <c r="G79" s="3"/>
      <c r="H79" s="3" t="str">
        <f t="shared" si="1"/>
        <v/>
      </c>
      <c r="AA79" s="1"/>
    </row>
    <row r="80" spans="7:46" x14ac:dyDescent="0.25">
      <c r="G80" s="3"/>
      <c r="H80" s="3" t="str">
        <f t="shared" si="1"/>
        <v/>
      </c>
    </row>
    <row r="81" spans="7:8" x14ac:dyDescent="0.25">
      <c r="G81" s="3"/>
      <c r="H81" s="3" t="str">
        <f t="shared" si="1"/>
        <v/>
      </c>
    </row>
    <row r="82" spans="7:8" x14ac:dyDescent="0.25">
      <c r="G82" s="3"/>
      <c r="H82" s="3" t="str">
        <f t="shared" si="1"/>
        <v/>
      </c>
    </row>
    <row r="83" spans="7:8" x14ac:dyDescent="0.25">
      <c r="G83" s="3"/>
      <c r="H83" s="3" t="str">
        <f t="shared" si="1"/>
        <v/>
      </c>
    </row>
    <row r="84" spans="7:8" x14ac:dyDescent="0.25">
      <c r="G84" s="3"/>
      <c r="H84" s="3" t="str">
        <f t="shared" si="1"/>
        <v/>
      </c>
    </row>
    <row r="85" spans="7:8" x14ac:dyDescent="0.25">
      <c r="G85" s="3"/>
      <c r="H85" s="3" t="str">
        <f t="shared" si="1"/>
        <v/>
      </c>
    </row>
    <row r="86" spans="7:8" x14ac:dyDescent="0.25">
      <c r="G86" s="3"/>
      <c r="H86" s="3" t="str">
        <f t="shared" si="1"/>
        <v/>
      </c>
    </row>
    <row r="87" spans="7:8" x14ac:dyDescent="0.25">
      <c r="G87" s="3"/>
      <c r="H87" s="3" t="str">
        <f t="shared" si="1"/>
        <v/>
      </c>
    </row>
    <row r="88" spans="7:8" x14ac:dyDescent="0.25">
      <c r="G88" s="3"/>
      <c r="H88" s="3" t="str">
        <f t="shared" si="1"/>
        <v/>
      </c>
    </row>
    <row r="89" spans="7:8" x14ac:dyDescent="0.25">
      <c r="G89" s="3"/>
      <c r="H89" s="3" t="str">
        <f t="shared" si="1"/>
        <v/>
      </c>
    </row>
    <row r="90" spans="7:8" x14ac:dyDescent="0.25">
      <c r="G90" s="3"/>
      <c r="H90" s="3" t="str">
        <f t="shared" si="1"/>
        <v/>
      </c>
    </row>
    <row r="91" spans="7:8" x14ac:dyDescent="0.25">
      <c r="G91" s="3"/>
      <c r="H91" s="3" t="str">
        <f t="shared" si="1"/>
        <v/>
      </c>
    </row>
    <row r="92" spans="7:8" x14ac:dyDescent="0.25">
      <c r="G92" s="3"/>
      <c r="H92" s="3" t="str">
        <f t="shared" si="1"/>
        <v/>
      </c>
    </row>
    <row r="93" spans="7:8" x14ac:dyDescent="0.25">
      <c r="G93" s="3"/>
      <c r="H93" s="3" t="str">
        <f t="shared" si="1"/>
        <v/>
      </c>
    </row>
    <row r="94" spans="7:8" x14ac:dyDescent="0.25">
      <c r="G94" s="3"/>
      <c r="H94" s="3" t="str">
        <f t="shared" si="1"/>
        <v/>
      </c>
    </row>
    <row r="95" spans="7:8" x14ac:dyDescent="0.25">
      <c r="G95" s="3"/>
      <c r="H95" s="3" t="str">
        <f t="shared" si="1"/>
        <v/>
      </c>
    </row>
    <row r="96" spans="7:8" x14ac:dyDescent="0.25">
      <c r="G96" s="3"/>
      <c r="H96" s="3" t="str">
        <f t="shared" si="1"/>
        <v/>
      </c>
    </row>
    <row r="97" spans="7:8" x14ac:dyDescent="0.25">
      <c r="G97" s="3"/>
      <c r="H97" s="3" t="str">
        <f t="shared" si="1"/>
        <v/>
      </c>
    </row>
    <row r="98" spans="7:8" x14ac:dyDescent="0.25">
      <c r="G98" s="3"/>
      <c r="H98" s="3" t="str">
        <f t="shared" si="1"/>
        <v/>
      </c>
    </row>
    <row r="99" spans="7:8" x14ac:dyDescent="0.25">
      <c r="G99" s="3"/>
      <c r="H99" s="3" t="str">
        <f t="shared" si="1"/>
        <v/>
      </c>
    </row>
    <row r="100" spans="7:8" x14ac:dyDescent="0.25">
      <c r="G100" s="3"/>
      <c r="H100" s="3" t="str">
        <f t="shared" si="1"/>
        <v/>
      </c>
    </row>
    <row r="101" spans="7:8" x14ac:dyDescent="0.25">
      <c r="G101" s="3"/>
      <c r="H101" s="3" t="str">
        <f t="shared" si="1"/>
        <v/>
      </c>
    </row>
    <row r="102" spans="7:8" x14ac:dyDescent="0.25">
      <c r="G102" s="3"/>
      <c r="H102" s="3" t="str">
        <f t="shared" si="1"/>
        <v/>
      </c>
    </row>
    <row r="103" spans="7:8" x14ac:dyDescent="0.25">
      <c r="G103" s="3"/>
      <c r="H103" s="3" t="str">
        <f t="shared" si="1"/>
        <v/>
      </c>
    </row>
    <row r="104" spans="7:8" x14ac:dyDescent="0.25">
      <c r="G104" s="3"/>
      <c r="H104" s="3" t="str">
        <f t="shared" si="1"/>
        <v/>
      </c>
    </row>
    <row r="105" spans="7:8" x14ac:dyDescent="0.25">
      <c r="G105" s="3"/>
      <c r="H105" s="3" t="str">
        <f t="shared" si="1"/>
        <v/>
      </c>
    </row>
    <row r="106" spans="7:8" x14ac:dyDescent="0.25">
      <c r="G106" s="3"/>
      <c r="H106" s="3" t="str">
        <f t="shared" si="1"/>
        <v/>
      </c>
    </row>
    <row r="107" spans="7:8" x14ac:dyDescent="0.25">
      <c r="G107" s="3"/>
      <c r="H107" s="3" t="str">
        <f t="shared" si="1"/>
        <v/>
      </c>
    </row>
    <row r="108" spans="7:8" x14ac:dyDescent="0.25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11:H108 E9:H9">
    <cfRule type="expression" dxfId="27" priority="19">
      <formula>$B$7=ROW()</formula>
    </cfRule>
    <cfRule type="expression" dxfId="26" priority="20">
      <formula>AND($D8&lt;&gt;"",MOD(ROW(),2)=1)</formula>
    </cfRule>
    <cfRule type="expression" dxfId="25" priority="21">
      <formula>AND($D8&lt;&gt;"",MOD(ROW(),2)=0)</formula>
    </cfRule>
  </conditionalFormatting>
  <conditionalFormatting sqref="P9:W999">
    <cfRule type="expression" dxfId="24" priority="13">
      <formula>$X9="N"</formula>
    </cfRule>
    <cfRule type="expression" dxfId="23" priority="14">
      <formula>$B$10=ROW()</formula>
    </cfRule>
    <cfRule type="expression" dxfId="22" priority="15">
      <formula>AND($P9&lt;&gt;"",MOD(ROW(),2)=1)</formula>
    </cfRule>
    <cfRule type="expression" dxfId="21" priority="18">
      <formula>AND($P9&lt;&gt;"",MOD(ROW(),2)=0)</formula>
    </cfRule>
  </conditionalFormatting>
  <conditionalFormatting sqref="AA9:AH999">
    <cfRule type="expression" dxfId="20" priority="5">
      <formula>$AI9="N"</formula>
    </cfRule>
    <cfRule type="expression" dxfId="19" priority="6">
      <formula>$B$12=ROW()</formula>
    </cfRule>
    <cfRule type="expression" dxfId="18" priority="7">
      <formula>AND($AA9&lt;&gt;"",MOD(ROW(),2)=1)</formula>
    </cfRule>
    <cfRule type="expression" dxfId="17" priority="8">
      <formula>AND($AA9&lt;&gt;"",MOD(ROW(),2)=0)</formula>
    </cfRule>
  </conditionalFormatting>
  <conditionalFormatting sqref="AL9:AS999">
    <cfRule type="expression" dxfId="16" priority="1">
      <formula>$AT9="N"</formula>
    </cfRule>
    <cfRule type="expression" dxfId="15" priority="2">
      <formula>$B$14=ROW()</formula>
    </cfRule>
    <cfRule type="expression" dxfId="14" priority="3">
      <formula>AND($AL9&lt;&gt;"",MOD(ROW(),2)=1)</formula>
    </cfRule>
    <cfRule type="expression" dxfId="13" priority="4">
      <formula>AND($AL9&lt;&gt;"",MOD(ROW(),2)=0)</formula>
    </cfRule>
  </conditionalFormatting>
  <conditionalFormatting sqref="D10:H10 D9">
    <cfRule type="expression" dxfId="12" priority="28">
      <formula>$B$7=ROW()</formula>
    </cfRule>
    <cfRule type="expression" dxfId="11" priority="29">
      <formula>AND($E8&lt;&gt;"",MOD(ROW(),2)=1)</formula>
    </cfRule>
    <cfRule type="expression" dxfId="10" priority="30">
      <formula>AND($E8&lt;&gt;"",MOD(ROW(),2)=0)</formula>
    </cfRule>
  </conditionalFormatting>
  <dataValidations count="3"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D9:D108 E9" xr:uid="{A6E8046B-619A-4A2A-97FB-FFDE34F861E9}">
      <formula1>Prod_Name</formula1>
    </dataValidation>
    <dataValidation type="list" allowBlank="1" showInputMessage="1" showErrorMessage="1" sqref="E5" xr:uid="{CFED8851-B2A5-4968-BDC5-2A10A9297F9F}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0A9A-3435-4F4F-B2D8-2899AF9E5714}">
  <sheetPr codeName="Sheet2"/>
  <dimension ref="A1:AB14"/>
  <sheetViews>
    <sheetView zoomScale="63" workbookViewId="0">
      <selection activeCell="E11" sqref="E11"/>
    </sheetView>
  </sheetViews>
  <sheetFormatPr defaultRowHeight="15" x14ac:dyDescent="0.25"/>
  <cols>
    <col min="1" max="1" width="11.7109375" customWidth="1"/>
    <col min="2" max="2" width="18.28515625" customWidth="1"/>
    <col min="3" max="3" width="16" customWidth="1"/>
  </cols>
  <sheetData>
    <row r="1" spans="1:28" x14ac:dyDescent="0.25">
      <c r="A1" s="133" t="str">
        <f ca="1">UPPER("TREN PENJUALAN: "&amp;YEAR(TODAY()))</f>
        <v>TREN PENJUALAN: 2025</v>
      </c>
      <c r="B1" s="133"/>
      <c r="AA1" t="s">
        <v>188</v>
      </c>
      <c r="AB1" t="s">
        <v>33</v>
      </c>
    </row>
    <row r="2" spans="1:28" x14ac:dyDescent="0.25">
      <c r="A2" t="s">
        <v>189</v>
      </c>
      <c r="B2" t="s">
        <v>190</v>
      </c>
      <c r="C2" t="s">
        <v>203</v>
      </c>
      <c r="AA2" t="s">
        <v>157</v>
      </c>
      <c r="AB2">
        <v>4</v>
      </c>
    </row>
    <row r="3" spans="1:28" x14ac:dyDescent="0.25">
      <c r="A3" t="s">
        <v>191</v>
      </c>
      <c r="B3" s="119" cm="1">
        <f t="array" aca="1" ref="B3" ca="1">SUMIFS(Ord_Total,Ord_Type,"Penjualan",Ord_Date,"&gt;="&amp;DATE(YEAR(TODAY()),ROW()-2,1),Ord_Date,"&lt;="&amp;EOMONTH(DATE(YEAR(TODAY()),ROW()-1,1),0))</f>
        <v>0</v>
      </c>
      <c r="C3" s="120">
        <f ca="1">B3</f>
        <v>0</v>
      </c>
      <c r="AA3" t="s">
        <v>150</v>
      </c>
      <c r="AB3">
        <v>1</v>
      </c>
    </row>
    <row r="4" spans="1:28" x14ac:dyDescent="0.25">
      <c r="A4" s="33" t="s">
        <v>192</v>
      </c>
      <c r="B4" s="119" cm="1">
        <f t="array" aca="1" ref="B4" ca="1">SUMIFS(Ord_Total,Ord_Type,"Penjualan",Ord_Date,"&gt;="&amp;DATE(YEAR(TODAY()),ROW()-2,1),Ord_Date,"&lt;="&amp;EOMONTH(DATE(YEAR(TODAY()),ROW()-1,1),0))</f>
        <v>0</v>
      </c>
      <c r="C4" s="120" t="e">
        <f ca="1">(B4-B3)/B4</f>
        <v>#DIV/0!</v>
      </c>
      <c r="AA4" t="s">
        <v>152</v>
      </c>
      <c r="AB4">
        <v>1</v>
      </c>
    </row>
    <row r="5" spans="1:28" x14ac:dyDescent="0.25">
      <c r="A5" s="33" t="s">
        <v>193</v>
      </c>
      <c r="B5" s="119" cm="1">
        <f t="array" aca="1" ref="B5" ca="1">SUMIFS(Ord_Total,Ord_Type,"Penjualan",Ord_Date,"&gt;="&amp;DATE(YEAR(TODAY()),ROW()-2,1),Ord_Date,"&lt;="&amp;EOMONTH(DATE(YEAR(TODAY()),ROW()-1,1),0))</f>
        <v>0</v>
      </c>
      <c r="C5" s="120" t="e">
        <f ca="1">(B5-B4)/B5</f>
        <v>#DIV/0!</v>
      </c>
      <c r="AA5" t="s">
        <v>159</v>
      </c>
      <c r="AB5">
        <v>3</v>
      </c>
    </row>
    <row r="6" spans="1:28" x14ac:dyDescent="0.25">
      <c r="A6" s="33" t="s">
        <v>194</v>
      </c>
      <c r="B6" s="119" cm="1">
        <f t="array" aca="1" ref="B6" ca="1">SUMIFS(Ord_Total,Ord_Type,"Penjualan",Ord_Date,"&gt;="&amp;DATE(YEAR(TODAY()),ROW()-2,1),Ord_Date,"&lt;="&amp;EOMONTH(DATE(YEAR(TODAY()),ROW()-1,1),0))</f>
        <v>0</v>
      </c>
      <c r="C6" s="120" t="e">
        <f ca="1">(B6-B5)/B6</f>
        <v>#DIV/0!</v>
      </c>
    </row>
    <row r="7" spans="1:28" x14ac:dyDescent="0.25">
      <c r="A7" s="33" t="s">
        <v>195</v>
      </c>
      <c r="B7" s="119" cm="1">
        <f t="array" aca="1" ref="B7" ca="1">SUMIFS(Ord_Total,Ord_Type,"Penjualan",Ord_Date,"&gt;="&amp;DATE(YEAR(TODAY()),ROW()-2,1),Ord_Date,"&lt;="&amp;EOMONTH(DATE(YEAR(TODAY()),ROW()-1,1),0))</f>
        <v>0</v>
      </c>
      <c r="C7" s="120" t="e">
        <f t="shared" ref="C7:C14" ca="1" si="0">(B7-B6)/B7</f>
        <v>#DIV/0!</v>
      </c>
    </row>
    <row r="8" spans="1:28" x14ac:dyDescent="0.25">
      <c r="A8" s="33" t="s">
        <v>196</v>
      </c>
      <c r="B8" s="119" cm="1">
        <f t="array" aca="1" ref="B8" ca="1">SUMIFS(Ord_Total,Ord_Type,"Penjualan",Ord_Date,"&gt;="&amp;DATE(YEAR(TODAY()),ROW()-2,1),Ord_Date,"&lt;="&amp;EOMONTH(DATE(YEAR(TODAY()),ROW()-1,1),0))</f>
        <v>0</v>
      </c>
      <c r="C8" s="120" t="e">
        <f t="shared" ca="1" si="0"/>
        <v>#DIV/0!</v>
      </c>
    </row>
    <row r="9" spans="1:28" x14ac:dyDescent="0.25">
      <c r="A9" s="33" t="s">
        <v>197</v>
      </c>
      <c r="B9" s="119" cm="1">
        <f t="array" aca="1" ref="B9" ca="1">SUMIFS(Ord_Total,Ord_Type,"Penjualan",Ord_Date,"&gt;="&amp;DATE(YEAR(TODAY()),ROW()-2,1),Ord_Date,"&lt;="&amp;EOMONTH(DATE(YEAR(TODAY()),ROW()-1,1),0))</f>
        <v>0</v>
      </c>
      <c r="C9" s="120" t="e">
        <f t="shared" ca="1" si="0"/>
        <v>#DIV/0!</v>
      </c>
    </row>
    <row r="10" spans="1:28" x14ac:dyDescent="0.25">
      <c r="A10" s="33" t="s">
        <v>198</v>
      </c>
      <c r="B10" s="119" cm="1">
        <f t="array" aca="1" ref="B10" ca="1">SUMIFS(Ord_Total,Ord_Type,"Penjualan",Ord_Date,"&gt;="&amp;DATE(YEAR(TODAY()),ROW()-2,1),Ord_Date,"&lt;="&amp;EOMONTH(DATE(YEAR(TODAY()),ROW()-1,1),0))</f>
        <v>0</v>
      </c>
      <c r="C10" s="120" t="e">
        <f t="shared" ca="1" si="0"/>
        <v>#DIV/0!</v>
      </c>
    </row>
    <row r="11" spans="1:28" x14ac:dyDescent="0.25">
      <c r="A11" s="33" t="s">
        <v>199</v>
      </c>
      <c r="B11" s="119" cm="1">
        <f t="array" aca="1" ref="B11" ca="1">SUMIFS(Ord_Total,Ord_Type,"Penjualan",Ord_Date,"&gt;="&amp;DATE(YEAR(TODAY()),ROW()-2,1),Ord_Date,"&lt;="&amp;EOMONTH(DATE(YEAR(TODAY()),ROW()-1,1),0))</f>
        <v>0</v>
      </c>
      <c r="C11" s="120" t="e">
        <f t="shared" ca="1" si="0"/>
        <v>#DIV/0!</v>
      </c>
    </row>
    <row r="12" spans="1:28" x14ac:dyDescent="0.25">
      <c r="A12" s="33" t="s">
        <v>200</v>
      </c>
      <c r="B12" s="119" cm="1">
        <f t="array" aca="1" ref="B12" ca="1">SUMIFS(Ord_Total,Ord_Type,"Penjualan",Ord_Date,"&gt;="&amp;DATE(YEAR(TODAY()),ROW()-2,1),Ord_Date,"&lt;="&amp;EOMONTH(DATE(YEAR(TODAY()),ROW()-1,1),0))</f>
        <v>26400</v>
      </c>
      <c r="C12" s="120">
        <f t="shared" ca="1" si="0"/>
        <v>1</v>
      </c>
    </row>
    <row r="13" spans="1:28" x14ac:dyDescent="0.25">
      <c r="A13" s="33" t="s">
        <v>201</v>
      </c>
      <c r="B13" s="119" cm="1">
        <f t="array" aca="1" ref="B13" ca="1">SUMIFS(Ord_Total,Ord_Type,"Penjualan",Ord_Date,"&gt;="&amp;DATE(YEAR(TODAY()),ROW()-2,1),Ord_Date,"&lt;="&amp;EOMONTH(DATE(YEAR(TODAY()),ROW()-1,1),0))</f>
        <v>642800</v>
      </c>
      <c r="C13" s="120">
        <f t="shared" ca="1" si="0"/>
        <v>0.95892968263845679</v>
      </c>
    </row>
    <row r="14" spans="1:28" x14ac:dyDescent="0.25">
      <c r="A14" s="33" t="s">
        <v>202</v>
      </c>
      <c r="B14" s="119" cm="1">
        <f t="array" aca="1" ref="B14" ca="1">SUMIFS(Ord_Total,Ord_Type,"Penjualan",Ord_Date,"&gt;="&amp;DATE(YEAR(TODAY()),ROW()-2,1),Ord_Date,"&lt;="&amp;EOMONTH(DATE(YEAR(TODAY()),ROW()-1,1),0))</f>
        <v>616400</v>
      </c>
      <c r="C14" s="120">
        <f t="shared" ca="1" si="0"/>
        <v>-4.2829331602855292E-2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zoomScale="79" workbookViewId="0">
      <selection activeCell="I11" sqref="I11"/>
    </sheetView>
  </sheetViews>
  <sheetFormatPr defaultRowHeight="15" x14ac:dyDescent="0.25"/>
  <cols>
    <col min="1" max="1" width="13.85546875" customWidth="1"/>
    <col min="2" max="2" width="22.42578125" customWidth="1"/>
    <col min="4" max="4" width="9.42578125" bestFit="1" customWidth="1"/>
    <col min="5" max="5" width="19.28515625" customWidth="1"/>
    <col min="6" max="6" width="22.42578125" customWidth="1"/>
    <col min="8" max="8" width="26.5703125" bestFit="1" customWidth="1"/>
    <col min="9" max="9" width="21" bestFit="1" customWidth="1"/>
    <col min="11" max="11" width="16.42578125" customWidth="1"/>
    <col min="12" max="12" width="16.7109375" customWidth="1"/>
    <col min="14" max="14" width="13.42578125" bestFit="1" customWidth="1"/>
    <col min="15" max="15" width="18.28515625" customWidth="1"/>
  </cols>
  <sheetData>
    <row r="1" spans="1:15" x14ac:dyDescent="0.25">
      <c r="A1" s="134" t="str">
        <f ca="1">UPPER("Total Penjualan tiap bulan: "&amp;YEAR(TODAY()))</f>
        <v>TOTAL PENJUALAN TIAP BULAN: 2025</v>
      </c>
      <c r="B1" s="135"/>
      <c r="D1" s="136" t="str" cm="1">
        <f t="array" aca="1" ref="D1" ca="1">UPPER(INDEX(Months,MONTH(TODAY()),1)&amp;" Pembelian dan Penjualan")</f>
        <v>DECEMBER PEMBELIAN DAN PENJUALAN</v>
      </c>
      <c r="E1" s="137"/>
      <c r="F1" s="138"/>
      <c r="H1" s="139"/>
      <c r="I1" s="140"/>
      <c r="K1" s="139" t="str" cm="1">
        <f t="array" aca="1" ref="K1" ca="1">UPPER(INDEX(Months,MONTH(TODAY()),1)&amp;" .")</f>
        <v>DECEMBER .</v>
      </c>
      <c r="L1" s="140"/>
      <c r="N1" s="139" t="str">
        <f ca="1">YEAR(TODAY())&amp;" ."</f>
        <v>2025 .</v>
      </c>
      <c r="O1" s="140"/>
    </row>
    <row r="2" spans="1:15" x14ac:dyDescent="0.25">
      <c r="A2" s="58" t="s">
        <v>179</v>
      </c>
      <c r="B2" s="60" t="s">
        <v>177</v>
      </c>
      <c r="D2" s="58" t="s">
        <v>180</v>
      </c>
      <c r="E2" s="64" t="s">
        <v>169</v>
      </c>
      <c r="F2" s="59" t="s">
        <v>178</v>
      </c>
      <c r="K2" s="50" t="s">
        <v>181</v>
      </c>
      <c r="L2" s="117" cm="1">
        <f t="array" aca="1" ref="L2" ca="1">SUMIFS(Ord_Total,Ord_Type,"Penjualan",Ord_Date,"&gt;="&amp;DATE(YEAR(TODAY()),MONTH(TODAY()),1),Ord_Date,"&lt;="&amp;EOMONTH(DATE(YEAR(TODAY()),MONTH(TODAY()),1),0))</f>
        <v>616400</v>
      </c>
      <c r="N2" s="50" t="s">
        <v>184</v>
      </c>
      <c r="O2" s="117" cm="1">
        <f t="array" aca="1" ref="O2" ca="1">SUMIFS(Ord_Total,Ord_Type,"Penjualan",Ord_Date,"&gt;="&amp;DATE(YEAR(TODAY()),1,1),Ord_Date,"&lt;="&amp;DATE(YEAR(TODAY()),12,31))</f>
        <v>642800</v>
      </c>
    </row>
    <row r="3" spans="1:15" x14ac:dyDescent="0.25">
      <c r="A3" s="57" t="s">
        <v>5</v>
      </c>
      <c r="B3" s="113" cm="1">
        <f t="array" aca="1" ref="B3" ca="1">SUMIFS(Ord_Total,Ord_Type,"Penjualan",Ord_Date,"&gt;="&amp;DATE(YEAR(TODAY()),ROW()-2,1),Ord_Date,"&lt;="&amp;EOMONTH(DATE(YEAR(TODAY()),ROW()-1,1),0))</f>
        <v>0</v>
      </c>
      <c r="D3" s="63">
        <f ca="1">DATE(YEAR(TODAY()),MONTH(TODAY()),ROW()-2)</f>
        <v>45992</v>
      </c>
      <c r="E3" s="112" cm="1">
        <f t="array" aca="1" ref="E3" ca="1">SUMIFS(Ord_Total,Ord_Type,"Pembelian",Ord_Date,D3)</f>
        <v>0</v>
      </c>
      <c r="F3" s="113" cm="1">
        <f t="array" aca="1" ref="F3" ca="1">SUMIFS(Ord_Total,Ord_Type,"Penjualan",Ord_Date,D3)</f>
        <v>0</v>
      </c>
      <c r="K3" s="50" t="s">
        <v>187</v>
      </c>
      <c r="L3" s="114" cm="1">
        <f t="array" aca="1" ref="L3" ca="1">SUMIFS(Ord_Total,Ord_Type,"Pembelian",Ord_Date,"&gt;="&amp;DATE(YEAR(TODAY()),MONTH(TODAY()),1),Ord_Date,"&lt;="&amp;EOMONTH(DATE(YEAR(TODAY()),MONTH(TODAY()),1),0))</f>
        <v>5855000</v>
      </c>
      <c r="N3" s="50" t="s">
        <v>185</v>
      </c>
      <c r="O3" s="117" cm="1">
        <f t="array" aca="1" ref="O3" ca="1">SUMIFS(Ord_Total,Ord_Type,"Pembelian",Ord_Date,"&gt;="&amp;DATE(YEAR(TODAY()),1,1),Ord_Date,"&lt;="&amp;DATE(YEAR(TODAY()),12,31))</f>
        <v>6055000</v>
      </c>
    </row>
    <row r="4" spans="1:15" x14ac:dyDescent="0.25">
      <c r="A4" s="50" t="s">
        <v>7</v>
      </c>
      <c r="B4" s="113" cm="1">
        <f t="array" aca="1" ref="B4" ca="1">SUMIFS(Ord_Total,Ord_Type,"Penjualan",Ord_Date,"&gt;="&amp;DATE(YEAR(TODAY()),ROW()-2,1),Ord_Date,"&lt;="&amp;EOMONTH(DATE(YEAR(TODAY()),ROW()-1,1),0))</f>
        <v>0</v>
      </c>
      <c r="D4" s="54">
        <f t="shared" ref="D4:D30" ca="1" si="0">DATE(YEAR(TODAY()),MONTH(TODAY()),ROW()-2)</f>
        <v>45993</v>
      </c>
      <c r="E4" s="112" cm="1">
        <f t="array" aca="1" ref="E4" ca="1">SUMIFS(Ord_Total,Ord_Type,"Pembelian",Ord_Date,D4)</f>
        <v>0</v>
      </c>
      <c r="F4" s="113" cm="1">
        <f t="array" aca="1" ref="F4" ca="1">SUMIFS(Ord_Total,Ord_Type,"Penjualan",Ord_Date,D4)</f>
        <v>0</v>
      </c>
      <c r="K4" s="52" t="s">
        <v>182</v>
      </c>
      <c r="L4" s="115">
        <f ca="1">L2-L3</f>
        <v>-5238600</v>
      </c>
      <c r="N4" s="52" t="s">
        <v>186</v>
      </c>
      <c r="O4" s="118">
        <f ca="1">O2-O3</f>
        <v>-5412200</v>
      </c>
    </row>
    <row r="5" spans="1:15" ht="15.75" thickBot="1" x14ac:dyDescent="0.3">
      <c r="A5" s="50" t="s">
        <v>9</v>
      </c>
      <c r="B5" s="113" cm="1">
        <f t="array" aca="1" ref="B5" ca="1">SUMIFS(Ord_Total,Ord_Type,"Penjualan",Ord_Date,"&gt;="&amp;DATE(YEAR(TODAY()),ROW()-2,1),Ord_Date,"&lt;="&amp;EOMONTH(DATE(YEAR(TODAY()),ROW()-1,1),0))</f>
        <v>0</v>
      </c>
      <c r="D5" s="54">
        <f t="shared" ca="1" si="0"/>
        <v>45994</v>
      </c>
      <c r="E5" s="112" cm="1">
        <f t="array" aca="1" ref="E5" ca="1">SUMIFS(Ord_Total,Ord_Type,"Pembelian",Ord_Date,D5)</f>
        <v>275000</v>
      </c>
      <c r="F5" s="113" cm="1">
        <f t="array" aca="1" ref="F5" ca="1">SUMIFS(Ord_Total,Ord_Type,"Penjualan",Ord_Date,D5)</f>
        <v>13200</v>
      </c>
      <c r="K5" s="51" t="s">
        <v>183</v>
      </c>
      <c r="L5" s="53">
        <f ca="1">L4/L2</f>
        <v>-8.4987021414665804</v>
      </c>
      <c r="N5" s="51" t="s">
        <v>183</v>
      </c>
      <c r="O5" s="53">
        <f ca="1">O4/O2</f>
        <v>-8.4197261978842572</v>
      </c>
    </row>
    <row r="6" spans="1:15" x14ac:dyDescent="0.25">
      <c r="A6" s="50" t="s">
        <v>11</v>
      </c>
      <c r="B6" s="113" cm="1">
        <f t="array" aca="1" ref="B6" ca="1">SUMIFS(Ord_Total,Ord_Type,"Penjualan",Ord_Date,"&gt;="&amp;DATE(YEAR(TODAY()),ROW()-2,1),Ord_Date,"&lt;="&amp;EOMONTH(DATE(YEAR(TODAY()),ROW()-1,1),0))</f>
        <v>0</v>
      </c>
      <c r="D6" s="54">
        <f t="shared" ca="1" si="0"/>
        <v>45995</v>
      </c>
      <c r="E6" s="112" cm="1">
        <f t="array" aca="1" ref="E6" ca="1">SUMIFS(Ord_Total,Ord_Type,"Pembelian",Ord_Date,D6)</f>
        <v>440000</v>
      </c>
      <c r="F6" s="113" cm="1">
        <f t="array" aca="1" ref="F6" ca="1">SUMIFS(Ord_Total,Ord_Type,"Penjualan",Ord_Date,D6)</f>
        <v>440000</v>
      </c>
    </row>
    <row r="7" spans="1:15" x14ac:dyDescent="0.25">
      <c r="A7" s="50" t="s">
        <v>13</v>
      </c>
      <c r="B7" s="113" cm="1">
        <f t="array" aca="1" ref="B7" ca="1">SUMIFS(Ord_Total,Ord_Type,"Penjualan",Ord_Date,"&gt;="&amp;DATE(YEAR(TODAY()),ROW()-2,1),Ord_Date,"&lt;="&amp;EOMONTH(DATE(YEAR(TODAY()),ROW()-1,1),0))</f>
        <v>0</v>
      </c>
      <c r="D7" s="54">
        <f t="shared" ca="1" si="0"/>
        <v>45996</v>
      </c>
      <c r="E7" s="112" cm="1">
        <f t="array" aca="1" ref="E7" ca="1">SUMIFS(Ord_Total,Ord_Type,"Pembelian",Ord_Date,D7)</f>
        <v>5040000</v>
      </c>
      <c r="F7" s="113" cm="1">
        <f t="array" aca="1" ref="F7" ca="1">SUMIFS(Ord_Total,Ord_Type,"Penjualan",Ord_Date,D7)</f>
        <v>163200</v>
      </c>
    </row>
    <row r="8" spans="1:15" x14ac:dyDescent="0.25">
      <c r="A8" s="50" t="s">
        <v>15</v>
      </c>
      <c r="B8" s="113" cm="1">
        <f t="array" aca="1" ref="B8" ca="1">SUMIFS(Ord_Total,Ord_Type,"Penjualan",Ord_Date,"&gt;="&amp;DATE(YEAR(TODAY()),ROW()-2,1),Ord_Date,"&lt;="&amp;EOMONTH(DATE(YEAR(TODAY()),ROW()-1,1),0))</f>
        <v>0</v>
      </c>
      <c r="D8" s="54">
        <f t="shared" ca="1" si="0"/>
        <v>45997</v>
      </c>
      <c r="E8" s="112" cm="1">
        <f t="array" aca="1" ref="E8" ca="1">SUMIFS(Ord_Total,Ord_Type,"Pembelian",Ord_Date,D8)</f>
        <v>100000</v>
      </c>
      <c r="F8" s="113" cm="1">
        <f t="array" aca="1" ref="F8" ca="1">SUMIFS(Ord_Total,Ord_Type,"Penjualan",Ord_Date,D8)</f>
        <v>0</v>
      </c>
    </row>
    <row r="9" spans="1:15" x14ac:dyDescent="0.25">
      <c r="A9" s="50" t="s">
        <v>17</v>
      </c>
      <c r="B9" s="113" cm="1">
        <f t="array" aca="1" ref="B9" ca="1">SUMIFS(Ord_Total,Ord_Type,"Penjualan",Ord_Date,"&gt;="&amp;DATE(YEAR(TODAY()),ROW()-2,1),Ord_Date,"&lt;="&amp;EOMONTH(DATE(YEAR(TODAY()),ROW()-1,1),0))</f>
        <v>0</v>
      </c>
      <c r="D9" s="54">
        <f t="shared" ca="1" si="0"/>
        <v>45998</v>
      </c>
      <c r="E9" s="112" cm="1">
        <f t="array" aca="1" ref="E9" ca="1">SUMIFS(Ord_Total,Ord_Type,"Pembelian",Ord_Date,D9)</f>
        <v>0</v>
      </c>
      <c r="F9" s="113" cm="1">
        <f t="array" aca="1" ref="F9" ca="1">SUMIFS(Ord_Total,Ord_Type,"Penjualan",Ord_Date,D9)</f>
        <v>0</v>
      </c>
    </row>
    <row r="10" spans="1:15" x14ac:dyDescent="0.25">
      <c r="A10" s="50" t="s">
        <v>19</v>
      </c>
      <c r="B10" s="113" cm="1">
        <f t="array" aca="1" ref="B10" ca="1">SUMIFS(Ord_Total,Ord_Type,"Penjualan",Ord_Date,"&gt;="&amp;DATE(YEAR(TODAY()),ROW()-2,1),Ord_Date,"&lt;="&amp;EOMONTH(DATE(YEAR(TODAY()),ROW()-1,1),0))</f>
        <v>0</v>
      </c>
      <c r="D10" s="54">
        <f t="shared" ca="1" si="0"/>
        <v>45999</v>
      </c>
      <c r="E10" s="112" cm="1">
        <f t="array" aca="1" ref="E10" ca="1">SUMIFS(Ord_Total,Ord_Type,"Pembelian",Ord_Date,D10)</f>
        <v>0</v>
      </c>
      <c r="F10" s="113" cm="1">
        <f t="array" aca="1" ref="F10" ca="1">SUMIFS(Ord_Total,Ord_Type,"Penjualan",Ord_Date,D10)</f>
        <v>0</v>
      </c>
    </row>
    <row r="11" spans="1:15" x14ac:dyDescent="0.25">
      <c r="A11" s="50" t="s">
        <v>20</v>
      </c>
      <c r="B11" s="113" cm="1">
        <f t="array" aca="1" ref="B11" ca="1">SUMIFS(Ord_Total,Ord_Type,"Penjualan",Ord_Date,"&gt;="&amp;DATE(YEAR(TODAY()),ROW()-2,1),Ord_Date,"&lt;="&amp;EOMONTH(DATE(YEAR(TODAY()),ROW()-1,1),0))</f>
        <v>0</v>
      </c>
      <c r="D11" s="54">
        <f t="shared" ca="1" si="0"/>
        <v>46000</v>
      </c>
      <c r="E11" s="112" cm="1">
        <f t="array" aca="1" ref="E11" ca="1">SUMIFS(Ord_Total,Ord_Type,"Pembelian",Ord_Date,D11)</f>
        <v>0</v>
      </c>
      <c r="F11" s="113" cm="1">
        <f t="array" aca="1" ref="F11" ca="1">SUMIFS(Ord_Total,Ord_Type,"Penjualan",Ord_Date,D11)</f>
        <v>0</v>
      </c>
    </row>
    <row r="12" spans="1:15" x14ac:dyDescent="0.25">
      <c r="A12" s="50" t="s">
        <v>21</v>
      </c>
      <c r="B12" s="113" cm="1">
        <f t="array" aca="1" ref="B12" ca="1">SUMIFS(Ord_Total,Ord_Type,"Penjualan",Ord_Date,"&gt;="&amp;DATE(YEAR(TODAY()),ROW()-2,1),Ord_Date,"&lt;="&amp;EOMONTH(DATE(YEAR(TODAY()),ROW()-1,1),0))</f>
        <v>26400</v>
      </c>
      <c r="D12" s="54">
        <f t="shared" ca="1" si="0"/>
        <v>46001</v>
      </c>
      <c r="E12" s="112" cm="1">
        <f t="array" aca="1" ref="E12" ca="1">SUMIFS(Ord_Total,Ord_Type,"Pembelian",Ord_Date,D12)</f>
        <v>0</v>
      </c>
      <c r="F12" s="113" cm="1">
        <f t="array" aca="1" ref="F12" ca="1">SUMIFS(Ord_Total,Ord_Type,"Penjualan",Ord_Date,D12)</f>
        <v>0</v>
      </c>
    </row>
    <row r="13" spans="1:15" x14ac:dyDescent="0.25">
      <c r="A13" s="50" t="s">
        <v>22</v>
      </c>
      <c r="B13" s="113" cm="1">
        <f t="array" aca="1" ref="B13" ca="1">SUMIFS(Ord_Total,Ord_Type,"Penjualan",Ord_Date,"&gt;="&amp;DATE(YEAR(TODAY()),ROW()-2,1),Ord_Date,"&lt;="&amp;EOMONTH(DATE(YEAR(TODAY()),ROW()-1,1),0))</f>
        <v>642800</v>
      </c>
      <c r="D13" s="54">
        <f t="shared" ca="1" si="0"/>
        <v>46002</v>
      </c>
      <c r="E13" s="112" cm="1">
        <f t="array" aca="1" ref="E13" ca="1">SUMIFS(Ord_Total,Ord_Type,"Pembelian",Ord_Date,D13)</f>
        <v>0</v>
      </c>
      <c r="F13" s="113" cm="1">
        <f t="array" aca="1" ref="F13" ca="1">SUMIFS(Ord_Total,Ord_Type,"Penjualan",Ord_Date,D13)</f>
        <v>0</v>
      </c>
    </row>
    <row r="14" spans="1:15" ht="15.75" thickBot="1" x14ac:dyDescent="0.3">
      <c r="A14" s="51" t="s">
        <v>23</v>
      </c>
      <c r="B14" s="113" cm="1">
        <f t="array" aca="1" ref="B14" ca="1">SUMIFS(Ord_Total,Ord_Type,"Penjualan",Ord_Date,"&gt;="&amp;DATE(YEAR(TODAY()),ROW()-2,1),Ord_Date,"&lt;="&amp;EOMONTH(DATE(YEAR(TODAY()),ROW()-1,1),0))</f>
        <v>616400</v>
      </c>
      <c r="D14" s="54">
        <f t="shared" ca="1" si="0"/>
        <v>46003</v>
      </c>
      <c r="E14" s="112" cm="1">
        <f t="array" aca="1" ref="E14" ca="1">SUMIFS(Ord_Total,Ord_Type,"Pembelian",Ord_Date,D14)</f>
        <v>0</v>
      </c>
      <c r="F14" s="113" cm="1">
        <f t="array" aca="1" ref="F14" ca="1">SUMIFS(Ord_Total,Ord_Type,"Penjualan",Ord_Date,D14)</f>
        <v>0</v>
      </c>
    </row>
    <row r="15" spans="1:15" x14ac:dyDescent="0.25">
      <c r="D15" s="54">
        <f t="shared" ca="1" si="0"/>
        <v>46004</v>
      </c>
      <c r="E15" s="112" cm="1">
        <f t="array" aca="1" ref="E15" ca="1">SUMIFS(Ord_Total,Ord_Type,"Pembelian",Ord_Date,D15)</f>
        <v>0</v>
      </c>
      <c r="F15" s="113" cm="1">
        <f t="array" aca="1" ref="F15" ca="1">SUMIFS(Ord_Total,Ord_Type,"Penjualan",Ord_Date,D15)</f>
        <v>0</v>
      </c>
    </row>
    <row r="16" spans="1:15" x14ac:dyDescent="0.25">
      <c r="D16" s="54">
        <f t="shared" ca="1" si="0"/>
        <v>46005</v>
      </c>
      <c r="E16" s="112" cm="1">
        <f t="array" aca="1" ref="E16" ca="1">SUMIFS(Ord_Total,Ord_Type,"Pembelian",Ord_Date,D16)</f>
        <v>0</v>
      </c>
      <c r="F16" s="113" cm="1">
        <f t="array" aca="1" ref="F16" ca="1">SUMIFS(Ord_Total,Ord_Type,"Penjualan",Ord_Date,D16)</f>
        <v>0</v>
      </c>
    </row>
    <row r="17" spans="4:6" x14ac:dyDescent="0.25">
      <c r="D17" s="54">
        <f t="shared" ca="1" si="0"/>
        <v>46006</v>
      </c>
      <c r="E17" s="112" cm="1">
        <f t="array" aca="1" ref="E17" ca="1">SUMIFS(Ord_Total,Ord_Type,"Pembelian",Ord_Date,D17)</f>
        <v>0</v>
      </c>
      <c r="F17" s="113" cm="1">
        <f t="array" aca="1" ref="F17" ca="1">SUMIFS(Ord_Total,Ord_Type,"Penjualan",Ord_Date,D17)</f>
        <v>0</v>
      </c>
    </row>
    <row r="18" spans="4:6" x14ac:dyDescent="0.25">
      <c r="D18" s="54">
        <f t="shared" ca="1" si="0"/>
        <v>46007</v>
      </c>
      <c r="E18" s="112" cm="1">
        <f t="array" aca="1" ref="E18" ca="1">SUMIFS(Ord_Total,Ord_Type,"Pembelian",Ord_Date,D18)</f>
        <v>0</v>
      </c>
      <c r="F18" s="113" cm="1">
        <f t="array" aca="1" ref="F18" ca="1">SUMIFS(Ord_Total,Ord_Type,"Penjualan",Ord_Date,D18)</f>
        <v>0</v>
      </c>
    </row>
    <row r="19" spans="4:6" x14ac:dyDescent="0.25">
      <c r="D19" s="54">
        <f t="shared" ca="1" si="0"/>
        <v>46008</v>
      </c>
      <c r="E19" s="112" cm="1">
        <f t="array" aca="1" ref="E19" ca="1">SUMIFS(Ord_Total,Ord_Type,"Pembelian",Ord_Date,D19)</f>
        <v>0</v>
      </c>
      <c r="F19" s="113" cm="1">
        <f t="array" aca="1" ref="F19" ca="1">SUMIFS(Ord_Total,Ord_Type,"Penjualan",Ord_Date,D19)</f>
        <v>0</v>
      </c>
    </row>
    <row r="20" spans="4:6" x14ac:dyDescent="0.25">
      <c r="D20" s="54">
        <f t="shared" ca="1" si="0"/>
        <v>46009</v>
      </c>
      <c r="E20" s="112" cm="1">
        <f t="array" aca="1" ref="E20" ca="1">SUMIFS(Ord_Total,Ord_Type,"Pembelian",Ord_Date,D20)</f>
        <v>0</v>
      </c>
      <c r="F20" s="113" cm="1">
        <f t="array" aca="1" ref="F20" ca="1">SUMIFS(Ord_Total,Ord_Type,"Penjualan",Ord_Date,D20)</f>
        <v>0</v>
      </c>
    </row>
    <row r="21" spans="4:6" x14ac:dyDescent="0.25">
      <c r="D21" s="54">
        <f t="shared" ca="1" si="0"/>
        <v>46010</v>
      </c>
      <c r="E21" s="112" cm="1">
        <f t="array" aca="1" ref="E21" ca="1">SUMIFS(Ord_Total,Ord_Type,"Pembelian",Ord_Date,D21)</f>
        <v>0</v>
      </c>
      <c r="F21" s="113" cm="1">
        <f t="array" aca="1" ref="F21" ca="1">SUMIFS(Ord_Total,Ord_Type,"Penjualan",Ord_Date,D21)</f>
        <v>0</v>
      </c>
    </row>
    <row r="22" spans="4:6" x14ac:dyDescent="0.25">
      <c r="D22" s="54">
        <f t="shared" ca="1" si="0"/>
        <v>46011</v>
      </c>
      <c r="E22" s="112" cm="1">
        <f t="array" aca="1" ref="E22" ca="1">SUMIFS(Ord_Total,Ord_Type,"Pembelian",Ord_Date,D22)</f>
        <v>0</v>
      </c>
      <c r="F22" s="113" cm="1">
        <f t="array" aca="1" ref="F22" ca="1">SUMIFS(Ord_Total,Ord_Type,"Penjualan",Ord_Date,D22)</f>
        <v>0</v>
      </c>
    </row>
    <row r="23" spans="4:6" x14ac:dyDescent="0.25">
      <c r="D23" s="54">
        <f t="shared" ca="1" si="0"/>
        <v>46012</v>
      </c>
      <c r="E23" s="112" cm="1">
        <f t="array" aca="1" ref="E23" ca="1">SUMIFS(Ord_Total,Ord_Type,"Pembelian",Ord_Date,D23)</f>
        <v>0</v>
      </c>
      <c r="F23" s="113" cm="1">
        <f t="array" aca="1" ref="F23" ca="1">SUMIFS(Ord_Total,Ord_Type,"Penjualan",Ord_Date,D23)</f>
        <v>0</v>
      </c>
    </row>
    <row r="24" spans="4:6" x14ac:dyDescent="0.25">
      <c r="D24" s="54">
        <f t="shared" ca="1" si="0"/>
        <v>46013</v>
      </c>
      <c r="E24" s="112" cm="1">
        <f t="array" aca="1" ref="E24" ca="1">SUMIFS(Ord_Total,Ord_Type,"Pembelian",Ord_Date,D24)</f>
        <v>0</v>
      </c>
      <c r="F24" s="113" cm="1">
        <f t="array" aca="1" ref="F24" ca="1">SUMIFS(Ord_Total,Ord_Type,"Penjualan",Ord_Date,D24)</f>
        <v>0</v>
      </c>
    </row>
    <row r="25" spans="4:6" x14ac:dyDescent="0.25">
      <c r="D25" s="54">
        <f t="shared" ca="1" si="0"/>
        <v>46014</v>
      </c>
      <c r="E25" s="112" cm="1">
        <f t="array" aca="1" ref="E25" ca="1">SUMIFS(Ord_Total,Ord_Type,"Pembelian",Ord_Date,D25)</f>
        <v>0</v>
      </c>
      <c r="F25" s="113" cm="1">
        <f t="array" aca="1" ref="F25" ca="1">SUMIFS(Ord_Total,Ord_Type,"Penjualan",Ord_Date,D25)</f>
        <v>0</v>
      </c>
    </row>
    <row r="26" spans="4:6" x14ac:dyDescent="0.25">
      <c r="D26" s="54">
        <f t="shared" ca="1" si="0"/>
        <v>46015</v>
      </c>
      <c r="E26" s="112" cm="1">
        <f t="array" aca="1" ref="E26" ca="1">SUMIFS(Ord_Total,Ord_Type,"Pembelian",Ord_Date,D26)</f>
        <v>0</v>
      </c>
      <c r="F26" s="113" cm="1">
        <f t="array" aca="1" ref="F26" ca="1">SUMIFS(Ord_Total,Ord_Type,"Penjualan",Ord_Date,D26)</f>
        <v>0</v>
      </c>
    </row>
    <row r="27" spans="4:6" x14ac:dyDescent="0.25">
      <c r="D27" s="54">
        <f ca="1">DATE(YEAR(TODAY()),MONTH(TODAY()),ROW()-2)</f>
        <v>46016</v>
      </c>
      <c r="E27" s="112" cm="1">
        <f t="array" aca="1" ref="E27" ca="1">SUMIFS(Ord_Total,Ord_Type,"Pembelian",Ord_Date,D27)</f>
        <v>0</v>
      </c>
      <c r="F27" s="113" cm="1">
        <f t="array" aca="1" ref="F27" ca="1">SUMIFS(Ord_Total,Ord_Type,"Penjualan",Ord_Date,D27)</f>
        <v>0</v>
      </c>
    </row>
    <row r="28" spans="4:6" x14ac:dyDescent="0.25">
      <c r="D28" s="54">
        <f t="shared" ca="1" si="0"/>
        <v>46017</v>
      </c>
      <c r="E28" s="112" cm="1">
        <f t="array" aca="1" ref="E28" ca="1">SUMIFS(Ord_Total,Ord_Type,"Pembelian",Ord_Date,D28)</f>
        <v>0</v>
      </c>
      <c r="F28" s="113" cm="1">
        <f t="array" aca="1" ref="F28" ca="1">SUMIFS(Ord_Total,Ord_Type,"Penjualan",Ord_Date,D28)</f>
        <v>0</v>
      </c>
    </row>
    <row r="29" spans="4:6" x14ac:dyDescent="0.25">
      <c r="D29" s="54">
        <f t="shared" ca="1" si="0"/>
        <v>46018</v>
      </c>
      <c r="E29" s="112" cm="1">
        <f t="array" aca="1" ref="E29" ca="1">SUMIFS(Ord_Total,Ord_Type,"Pembelian",Ord_Date,D29)</f>
        <v>0</v>
      </c>
      <c r="F29" s="113" cm="1">
        <f t="array" aca="1" ref="F29" ca="1">SUMIFS(Ord_Total,Ord_Type,"Penjualan",Ord_Date,D29)</f>
        <v>0</v>
      </c>
    </row>
    <row r="30" spans="4:6" x14ac:dyDescent="0.25">
      <c r="D30" s="54">
        <f t="shared" ca="1" si="0"/>
        <v>46019</v>
      </c>
      <c r="E30" s="112" cm="1">
        <f t="array" aca="1" ref="E30" ca="1">SUMIFS(Ord_Total,Ord_Type,"Pembelian",Ord_Date,D30)</f>
        <v>0</v>
      </c>
      <c r="F30" s="113" cm="1">
        <f t="array" aca="1" ref="F30" ca="1">SUMIFS(Ord_Total,Ord_Type,"Penjualan",Ord_Date,D30)</f>
        <v>0</v>
      </c>
    </row>
    <row r="31" spans="4:6" x14ac:dyDescent="0.25">
      <c r="D31" s="54">
        <f ca="1">IF(MONTH(D30)&lt;&gt;MONTH(D30+1),"",D30+1)</f>
        <v>46020</v>
      </c>
      <c r="E31" s="112" cm="1">
        <f t="array" aca="1" ref="E31" ca="1">SUMIFS(Ord_Total,Ord_Type,"Pembelian",Ord_Date,D31)</f>
        <v>0</v>
      </c>
      <c r="F31" s="113" cm="1">
        <f t="array" aca="1" ref="F31" ca="1">SUMIFS(Ord_Total,Ord_Type,"Penjualan",Ord_Date,D31)</f>
        <v>0</v>
      </c>
    </row>
    <row r="32" spans="4:6" x14ac:dyDescent="0.25">
      <c r="D32" s="54">
        <f ca="1">IF(D31="","",IF(MONTH(D31)&lt;&gt;MONTH(D31+1),"",D31+1))</f>
        <v>46021</v>
      </c>
      <c r="E32" s="112" cm="1">
        <f t="array" aca="1" ref="E32" ca="1">SUMIFS(Ord_Total,Ord_Type,"Pembelian",Ord_Date,D32)</f>
        <v>0</v>
      </c>
      <c r="F32" s="113" cm="1">
        <f t="array" aca="1" ref="F32" ca="1">SUMIFS(Ord_Total,Ord_Type,"Penjualan",Ord_Date,D32)</f>
        <v>0</v>
      </c>
    </row>
    <row r="33" spans="4:6" ht="15.75" thickBot="1" x14ac:dyDescent="0.3">
      <c r="D33" s="55">
        <f t="shared" ref="D33" ca="1" si="1">IF(D32="","",IF(MONTH(D32)&lt;&gt;MONTH(D32+1),"",D32+1))</f>
        <v>46022</v>
      </c>
      <c r="E33" s="61" cm="1">
        <f t="array" aca="1" ref="E33" ca="1">SUMIFS(Ord_Total,Ord_Type,"Purchase",Ord_Date,D33)</f>
        <v>0</v>
      </c>
      <c r="F33" s="62" cm="1">
        <f t="array" aca="1" ref="F33" ca="1">SUMIFS(Ord_Total,Ord_Type,"Sale",Ord_Date,D33)</f>
        <v>0</v>
      </c>
    </row>
    <row r="34" spans="4:6" x14ac:dyDescent="0.25">
      <c r="D34" s="33"/>
    </row>
    <row r="35" spans="4:6" x14ac:dyDescent="0.25">
      <c r="D35" s="33"/>
    </row>
    <row r="36" spans="4:6" x14ac:dyDescent="0.25">
      <c r="D36" s="33"/>
    </row>
    <row r="37" spans="4:6" x14ac:dyDescent="0.25">
      <c r="D37" s="33"/>
    </row>
    <row r="38" spans="4:6" x14ac:dyDescent="0.25">
      <c r="D38" s="33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9" priority="7">
      <formula>MOD(ROW(),2)=0</formula>
    </cfRule>
  </conditionalFormatting>
  <conditionalFormatting sqref="D3:F33">
    <cfRule type="expression" dxfId="8" priority="6">
      <formula>MOD(ROW(),2)=0</formula>
    </cfRule>
  </conditionalFormatting>
  <conditionalFormatting sqref="N2:O4">
    <cfRule type="expression" dxfId="7" priority="3">
      <formula>MOD(ROW(),2)=0</formula>
    </cfRule>
  </conditionalFormatting>
  <conditionalFormatting sqref="K2:L4 K5">
    <cfRule type="expression" dxfId="6" priority="2">
      <formula>MOD(ROW(),2)=0</formula>
    </cfRule>
  </conditionalFormatting>
  <conditionalFormatting sqref="N5">
    <cfRule type="expression" dxfId="5" priority="1">
      <formula>MOD(ROW(),2)=0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topLeftCell="D1" zoomScale="107" workbookViewId="0">
      <selection activeCell="R15" sqref="R15"/>
    </sheetView>
  </sheetViews>
  <sheetFormatPr defaultRowHeight="15" x14ac:dyDescent="0.25"/>
  <cols>
    <col min="1" max="1" width="13.28515625" style="1" customWidth="1"/>
    <col min="2" max="2" width="18.28515625" customWidth="1"/>
    <col min="3" max="3" width="27.42578125" customWidth="1"/>
    <col min="4" max="4" width="14.28515625" customWidth="1"/>
    <col min="5" max="5" width="15.5703125" customWidth="1"/>
    <col min="6" max="6" width="11.140625" customWidth="1"/>
    <col min="7" max="7" width="21.28515625" customWidth="1"/>
    <col min="8" max="8" width="25.140625" bestFit="1" customWidth="1"/>
    <col min="9" max="9" width="8.7109375" style="1"/>
    <col min="10" max="12" width="3.28515625" customWidth="1"/>
    <col min="13" max="13" width="16" customWidth="1"/>
    <col min="14" max="15" width="3.85546875" customWidth="1"/>
    <col min="16" max="16" width="13.7109375" customWidth="1"/>
    <col min="17" max="17" width="17.5703125" customWidth="1"/>
    <col min="18" max="18" width="26.85546875" customWidth="1"/>
    <col min="19" max="19" width="11.42578125" bestFit="1" customWidth="1"/>
    <col min="20" max="20" width="13.140625" bestFit="1" customWidth="1"/>
    <col min="21" max="21" width="10.140625" customWidth="1"/>
    <col min="22" max="22" width="16.140625" customWidth="1"/>
    <col min="23" max="23" width="25.140625" bestFit="1" customWidth="1"/>
    <col min="24" max="24" width="8" customWidth="1"/>
  </cols>
  <sheetData>
    <row r="1" spans="1:24" ht="14.45" customHeight="1" x14ac:dyDescent="0.25">
      <c r="A1" s="141" t="s">
        <v>164</v>
      </c>
      <c r="B1" s="141"/>
      <c r="C1" s="141"/>
      <c r="D1" s="141"/>
      <c r="E1" s="141"/>
      <c r="F1" s="141"/>
      <c r="G1" s="141"/>
      <c r="H1" s="141"/>
      <c r="I1" s="141"/>
      <c r="M1" s="16" t="s">
        <v>56</v>
      </c>
      <c r="P1" s="143" t="s">
        <v>236</v>
      </c>
      <c r="Q1" s="143"/>
      <c r="R1" s="143"/>
      <c r="S1" s="143"/>
      <c r="T1" s="143"/>
      <c r="U1" s="143"/>
      <c r="V1" s="143"/>
      <c r="W1" s="143"/>
      <c r="X1" s="143"/>
    </row>
    <row r="2" spans="1:24" ht="14.4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M2" s="18" t="s">
        <v>35</v>
      </c>
      <c r="P2" s="13" t="s">
        <v>34</v>
      </c>
      <c r="Q2" s="13" t="s">
        <v>35</v>
      </c>
      <c r="R2" s="13" t="s">
        <v>36</v>
      </c>
      <c r="S2" s="13" t="s">
        <v>37</v>
      </c>
      <c r="T2" s="13" t="s">
        <v>38</v>
      </c>
      <c r="U2" s="13" t="s">
        <v>39</v>
      </c>
      <c r="V2" s="13" t="s">
        <v>40</v>
      </c>
      <c r="W2" s="13" t="s">
        <v>41</v>
      </c>
      <c r="X2" s="13" t="s">
        <v>214</v>
      </c>
    </row>
    <row r="3" spans="1:24" x14ac:dyDescent="0.25">
      <c r="A3" s="13" t="s">
        <v>34</v>
      </c>
      <c r="B3" s="13" t="s">
        <v>35</v>
      </c>
      <c r="C3" s="13" t="s">
        <v>36</v>
      </c>
      <c r="D3" s="13" t="s">
        <v>37</v>
      </c>
      <c r="E3" s="13" t="s">
        <v>38</v>
      </c>
      <c r="F3" s="13" t="s">
        <v>39</v>
      </c>
      <c r="G3" s="13" t="s">
        <v>40</v>
      </c>
      <c r="H3" s="13" t="s">
        <v>41</v>
      </c>
      <c r="I3" s="13" t="s">
        <v>214</v>
      </c>
      <c r="M3" s="27" t="str">
        <f>"*"&amp;'Inventory Management'!R4&amp;"*"</f>
        <v>*a*</v>
      </c>
      <c r="P3" s="1">
        <v>1</v>
      </c>
      <c r="Q3" t="s">
        <v>67</v>
      </c>
      <c r="R3" t="s">
        <v>68</v>
      </c>
      <c r="S3" t="s">
        <v>70</v>
      </c>
      <c r="T3" t="s">
        <v>210</v>
      </c>
      <c r="U3">
        <v>57111</v>
      </c>
      <c r="V3" t="s">
        <v>71</v>
      </c>
      <c r="W3" t="s">
        <v>72</v>
      </c>
      <c r="X3" s="1">
        <v>4</v>
      </c>
    </row>
    <row r="4" spans="1:24" x14ac:dyDescent="0.25">
      <c r="A4" s="1">
        <v>1</v>
      </c>
      <c r="B4" t="s">
        <v>67</v>
      </c>
      <c r="C4" t="s">
        <v>68</v>
      </c>
      <c r="D4" t="s">
        <v>70</v>
      </c>
      <c r="E4" t="s">
        <v>210</v>
      </c>
      <c r="F4">
        <v>57111</v>
      </c>
      <c r="G4" t="s">
        <v>71</v>
      </c>
      <c r="H4" t="s">
        <v>72</v>
      </c>
      <c r="I4" s="1">
        <f>ROW()</f>
        <v>4</v>
      </c>
      <c r="P4" s="1">
        <v>2</v>
      </c>
      <c r="Q4" t="s">
        <v>73</v>
      </c>
      <c r="R4" t="s">
        <v>74</v>
      </c>
      <c r="S4" t="s">
        <v>75</v>
      </c>
      <c r="T4" t="s">
        <v>69</v>
      </c>
      <c r="U4">
        <v>50231</v>
      </c>
      <c r="V4" t="s">
        <v>76</v>
      </c>
      <c r="W4" t="s">
        <v>77</v>
      </c>
      <c r="X4" s="1">
        <v>5</v>
      </c>
    </row>
    <row r="5" spans="1:24" x14ac:dyDescent="0.25">
      <c r="A5" s="1">
        <v>2</v>
      </c>
      <c r="B5" t="s">
        <v>73</v>
      </c>
      <c r="C5" t="s">
        <v>74</v>
      </c>
      <c r="D5" t="s">
        <v>75</v>
      </c>
      <c r="E5" t="s">
        <v>69</v>
      </c>
      <c r="F5">
        <v>50231</v>
      </c>
      <c r="G5" t="s">
        <v>76</v>
      </c>
      <c r="H5" t="s">
        <v>77</v>
      </c>
      <c r="I5" s="1">
        <f>ROW()</f>
        <v>5</v>
      </c>
      <c r="P5" s="1">
        <v>3</v>
      </c>
      <c r="Q5" t="s">
        <v>78</v>
      </c>
      <c r="R5" t="s">
        <v>79</v>
      </c>
      <c r="S5" t="s">
        <v>81</v>
      </c>
      <c r="T5" t="s">
        <v>80</v>
      </c>
      <c r="U5">
        <v>55121</v>
      </c>
      <c r="V5" t="s">
        <v>82</v>
      </c>
      <c r="W5" t="s">
        <v>83</v>
      </c>
      <c r="X5" s="1">
        <v>6</v>
      </c>
    </row>
    <row r="6" spans="1:24" x14ac:dyDescent="0.25">
      <c r="A6" s="1">
        <v>3</v>
      </c>
      <c r="B6" t="s">
        <v>78</v>
      </c>
      <c r="C6" t="s">
        <v>79</v>
      </c>
      <c r="D6" t="s">
        <v>81</v>
      </c>
      <c r="E6" t="s">
        <v>80</v>
      </c>
      <c r="F6">
        <v>55121</v>
      </c>
      <c r="G6" t="s">
        <v>82</v>
      </c>
      <c r="H6" t="s">
        <v>83</v>
      </c>
      <c r="I6" s="1">
        <f>ROW()</f>
        <v>6</v>
      </c>
      <c r="P6" s="1">
        <v>4</v>
      </c>
      <c r="Q6" t="s">
        <v>84</v>
      </c>
      <c r="R6" t="s">
        <v>85</v>
      </c>
      <c r="S6" t="s">
        <v>86</v>
      </c>
      <c r="T6" t="s">
        <v>69</v>
      </c>
      <c r="U6">
        <v>57711</v>
      </c>
      <c r="V6" t="s">
        <v>87</v>
      </c>
      <c r="W6" t="s">
        <v>94</v>
      </c>
      <c r="X6" s="1">
        <v>7</v>
      </c>
    </row>
    <row r="7" spans="1:24" x14ac:dyDescent="0.25">
      <c r="A7" s="1">
        <v>4</v>
      </c>
      <c r="B7" t="s">
        <v>84</v>
      </c>
      <c r="C7" t="s">
        <v>85</v>
      </c>
      <c r="D7" t="s">
        <v>86</v>
      </c>
      <c r="E7" t="s">
        <v>69</v>
      </c>
      <c r="F7">
        <v>57711</v>
      </c>
      <c r="G7" t="s">
        <v>87</v>
      </c>
      <c r="H7" t="s">
        <v>94</v>
      </c>
      <c r="I7" s="1">
        <f>ROW()</f>
        <v>7</v>
      </c>
      <c r="P7" s="1">
        <v>5</v>
      </c>
      <c r="Q7" t="s">
        <v>88</v>
      </c>
      <c r="R7" t="s">
        <v>89</v>
      </c>
      <c r="S7" t="s">
        <v>90</v>
      </c>
      <c r="T7" t="s">
        <v>91</v>
      </c>
      <c r="U7">
        <v>75119</v>
      </c>
      <c r="V7" t="s">
        <v>92</v>
      </c>
      <c r="W7" t="s">
        <v>93</v>
      </c>
      <c r="X7" s="1">
        <v>8</v>
      </c>
    </row>
    <row r="8" spans="1:24" x14ac:dyDescent="0.25">
      <c r="A8" s="1">
        <v>5</v>
      </c>
      <c r="B8" t="s">
        <v>88</v>
      </c>
      <c r="C8" t="s">
        <v>89</v>
      </c>
      <c r="D8" t="s">
        <v>90</v>
      </c>
      <c r="E8" t="s">
        <v>91</v>
      </c>
      <c r="F8">
        <v>75119</v>
      </c>
      <c r="G8" t="s">
        <v>92</v>
      </c>
      <c r="H8" t="s">
        <v>93</v>
      </c>
      <c r="I8" s="1">
        <f>ROW()</f>
        <v>8</v>
      </c>
      <c r="P8" s="1">
        <v>6</v>
      </c>
      <c r="Q8" t="s">
        <v>95</v>
      </c>
      <c r="R8" t="s">
        <v>96</v>
      </c>
      <c r="S8" t="s">
        <v>211</v>
      </c>
      <c r="T8" t="s">
        <v>69</v>
      </c>
      <c r="U8">
        <v>59311</v>
      </c>
      <c r="V8" t="s">
        <v>97</v>
      </c>
      <c r="W8" t="s">
        <v>98</v>
      </c>
      <c r="X8" s="1">
        <v>9</v>
      </c>
    </row>
    <row r="9" spans="1:24" x14ac:dyDescent="0.25">
      <c r="A9" s="1">
        <v>6</v>
      </c>
      <c r="B9" t="s">
        <v>95</v>
      </c>
      <c r="C9" t="s">
        <v>96</v>
      </c>
      <c r="D9" t="s">
        <v>211</v>
      </c>
      <c r="E9" t="s">
        <v>69</v>
      </c>
      <c r="F9">
        <v>59311</v>
      </c>
      <c r="G9" t="s">
        <v>97</v>
      </c>
      <c r="H9" t="s">
        <v>98</v>
      </c>
      <c r="I9" s="1">
        <f>ROW()</f>
        <v>9</v>
      </c>
      <c r="P9" s="1">
        <v>7</v>
      </c>
      <c r="Q9" t="s">
        <v>99</v>
      </c>
      <c r="R9" t="s">
        <v>100</v>
      </c>
      <c r="S9" t="s">
        <v>102</v>
      </c>
      <c r="T9" t="s">
        <v>101</v>
      </c>
      <c r="U9">
        <v>65117</v>
      </c>
      <c r="V9" t="s">
        <v>103</v>
      </c>
      <c r="W9" t="s">
        <v>104</v>
      </c>
      <c r="X9" s="1">
        <v>10</v>
      </c>
    </row>
    <row r="10" spans="1:24" x14ac:dyDescent="0.25">
      <c r="A10" s="1">
        <v>7</v>
      </c>
      <c r="B10" t="s">
        <v>99</v>
      </c>
      <c r="C10" t="s">
        <v>100</v>
      </c>
      <c r="D10" t="s">
        <v>102</v>
      </c>
      <c r="E10" t="s">
        <v>101</v>
      </c>
      <c r="F10">
        <v>65117</v>
      </c>
      <c r="G10" t="s">
        <v>103</v>
      </c>
      <c r="H10" t="s">
        <v>104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90</v>
      </c>
      <c r="T10" t="s">
        <v>212</v>
      </c>
      <c r="U10">
        <v>78200</v>
      </c>
      <c r="V10" t="s">
        <v>204</v>
      </c>
      <c r="W10" t="s">
        <v>222</v>
      </c>
      <c r="X10" s="1">
        <v>11</v>
      </c>
    </row>
    <row r="11" spans="1:24" x14ac:dyDescent="0.25">
      <c r="A11" s="1">
        <v>8</v>
      </c>
      <c r="B11" t="s">
        <v>208</v>
      </c>
      <c r="C11" t="s">
        <v>209</v>
      </c>
      <c r="D11" t="s">
        <v>90</v>
      </c>
      <c r="E11" t="s">
        <v>212</v>
      </c>
      <c r="F11">
        <v>78200</v>
      </c>
      <c r="G11" t="s">
        <v>204</v>
      </c>
      <c r="H11" t="s">
        <v>222</v>
      </c>
      <c r="I11" s="1">
        <f>ROW()</f>
        <v>11</v>
      </c>
      <c r="P11" s="1">
        <v>9</v>
      </c>
      <c r="Q11" t="s">
        <v>224</v>
      </c>
      <c r="R11" t="s">
        <v>223</v>
      </c>
      <c r="S11" t="s">
        <v>69</v>
      </c>
      <c r="T11" t="s">
        <v>213</v>
      </c>
      <c r="U11">
        <v>90212</v>
      </c>
      <c r="V11" t="s">
        <v>205</v>
      </c>
      <c r="W11" t="s">
        <v>50</v>
      </c>
      <c r="X11" s="1">
        <v>12</v>
      </c>
    </row>
    <row r="12" spans="1:24" x14ac:dyDescent="0.25">
      <c r="A12" s="1">
        <v>9</v>
      </c>
      <c r="B12" t="s">
        <v>224</v>
      </c>
      <c r="C12" t="s">
        <v>223</v>
      </c>
      <c r="D12" t="s">
        <v>69</v>
      </c>
      <c r="E12" t="s">
        <v>213</v>
      </c>
      <c r="F12">
        <v>90212</v>
      </c>
      <c r="G12" t="s">
        <v>205</v>
      </c>
      <c r="H12" t="s">
        <v>50</v>
      </c>
      <c r="I12" s="1">
        <f>ROW()</f>
        <v>12</v>
      </c>
      <c r="P12" s="1">
        <v>11</v>
      </c>
      <c r="Q12" t="s">
        <v>106</v>
      </c>
      <c r="R12" t="s">
        <v>107</v>
      </c>
      <c r="S12" t="s">
        <v>69</v>
      </c>
      <c r="T12" t="s">
        <v>108</v>
      </c>
      <c r="U12">
        <v>90232</v>
      </c>
      <c r="V12" t="s">
        <v>109</v>
      </c>
      <c r="W12" t="s">
        <v>110</v>
      </c>
      <c r="X12" s="1">
        <v>13</v>
      </c>
    </row>
    <row r="13" spans="1:24" x14ac:dyDescent="0.25">
      <c r="A13" s="1">
        <v>11</v>
      </c>
      <c r="B13" t="s">
        <v>106</v>
      </c>
      <c r="C13" t="s">
        <v>107</v>
      </c>
      <c r="D13" t="s">
        <v>69</v>
      </c>
      <c r="E13" t="s">
        <v>108</v>
      </c>
      <c r="F13">
        <v>90232</v>
      </c>
      <c r="G13" t="s">
        <v>109</v>
      </c>
      <c r="H13" t="s">
        <v>110</v>
      </c>
      <c r="I13" s="1">
        <f>ROW()</f>
        <v>13</v>
      </c>
      <c r="P13" s="1">
        <v>12</v>
      </c>
      <c r="Q13" t="s">
        <v>111</v>
      </c>
      <c r="R13" t="s">
        <v>112</v>
      </c>
      <c r="S13" t="s">
        <v>90</v>
      </c>
      <c r="T13" t="s">
        <v>113</v>
      </c>
      <c r="U13">
        <v>81281</v>
      </c>
      <c r="V13" t="s">
        <v>114</v>
      </c>
      <c r="W13" t="s">
        <v>115</v>
      </c>
      <c r="X13" s="1">
        <v>14</v>
      </c>
    </row>
    <row r="14" spans="1:24" x14ac:dyDescent="0.25">
      <c r="A14" s="1">
        <v>12</v>
      </c>
      <c r="B14" t="s">
        <v>111</v>
      </c>
      <c r="C14" t="s">
        <v>112</v>
      </c>
      <c r="D14" t="s">
        <v>90</v>
      </c>
      <c r="E14" t="s">
        <v>113</v>
      </c>
      <c r="F14">
        <v>81281</v>
      </c>
      <c r="G14" t="s">
        <v>114</v>
      </c>
      <c r="H14" t="s">
        <v>115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83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4"/>
  <sheetViews>
    <sheetView topLeftCell="K1" zoomScale="124" workbookViewId="0">
      <selection activeCell="R11" sqref="R11"/>
    </sheetView>
  </sheetViews>
  <sheetFormatPr defaultRowHeight="15" x14ac:dyDescent="0.25"/>
  <cols>
    <col min="1" max="1" width="13.140625" style="1" customWidth="1"/>
    <col min="2" max="2" width="18.140625" bestFit="1" customWidth="1"/>
    <col min="3" max="3" width="18.5703125" customWidth="1"/>
    <col min="4" max="4" width="13.7109375" customWidth="1"/>
    <col min="5" max="5" width="19.42578125" customWidth="1"/>
    <col min="6" max="6" width="12.42578125" customWidth="1"/>
    <col min="7" max="7" width="21" customWidth="1"/>
    <col min="8" max="8" width="22.85546875" bestFit="1" customWidth="1"/>
    <col min="9" max="9" width="8.7109375" style="1"/>
    <col min="13" max="13" width="13.140625" bestFit="1" customWidth="1"/>
    <col min="14" max="14" width="18.140625" bestFit="1" customWidth="1"/>
    <col min="15" max="15" width="12.5703125" bestFit="1" customWidth="1"/>
    <col min="16" max="16" width="12" customWidth="1"/>
    <col min="17" max="17" width="18.5703125" customWidth="1"/>
    <col min="18" max="18" width="16.42578125" customWidth="1"/>
    <col min="19" max="19" width="16.140625" customWidth="1"/>
    <col min="20" max="20" width="22.85546875" bestFit="1" customWidth="1"/>
    <col min="21" max="21" width="11.42578125" customWidth="1"/>
    <col min="22" max="22" width="16.28515625" customWidth="1"/>
    <col min="23" max="23" width="20.85546875" customWidth="1"/>
  </cols>
  <sheetData>
    <row r="1" spans="1:24" ht="21" customHeight="1" x14ac:dyDescent="0.25">
      <c r="A1" s="141" t="s">
        <v>165</v>
      </c>
      <c r="B1" s="141"/>
      <c r="C1" s="141"/>
      <c r="D1" s="141"/>
      <c r="E1" s="141"/>
      <c r="F1" s="141"/>
      <c r="G1" s="141"/>
      <c r="H1" s="141"/>
      <c r="I1" s="141"/>
      <c r="M1" s="17" t="s">
        <v>56</v>
      </c>
      <c r="P1" s="143" t="s">
        <v>218</v>
      </c>
      <c r="Q1" s="143"/>
      <c r="R1" s="143"/>
      <c r="S1" s="143"/>
      <c r="T1" s="143"/>
      <c r="U1" s="143"/>
      <c r="V1" s="143"/>
      <c r="W1" s="143"/>
      <c r="X1" s="143"/>
    </row>
    <row r="2" spans="1:24" ht="21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M2" s="13" t="s">
        <v>58</v>
      </c>
      <c r="P2" s="13" t="s">
        <v>57</v>
      </c>
      <c r="Q2" s="13" t="s">
        <v>58</v>
      </c>
      <c r="R2" s="13" t="s">
        <v>36</v>
      </c>
      <c r="S2" s="13" t="s">
        <v>37</v>
      </c>
      <c r="T2" s="13" t="s">
        <v>38</v>
      </c>
      <c r="U2" s="13" t="s">
        <v>39</v>
      </c>
      <c r="V2" s="13" t="s">
        <v>40</v>
      </c>
      <c r="W2" s="13" t="s">
        <v>41</v>
      </c>
      <c r="X2" s="13" t="s">
        <v>214</v>
      </c>
    </row>
    <row r="3" spans="1:24" x14ac:dyDescent="0.25">
      <c r="A3" s="13" t="s">
        <v>57</v>
      </c>
      <c r="B3" s="13" t="s">
        <v>58</v>
      </c>
      <c r="C3" s="13" t="s">
        <v>36</v>
      </c>
      <c r="D3" s="13" t="s">
        <v>37</v>
      </c>
      <c r="E3" s="13" t="s">
        <v>38</v>
      </c>
      <c r="F3" s="13" t="s">
        <v>39</v>
      </c>
      <c r="G3" s="13" t="s">
        <v>40</v>
      </c>
      <c r="H3" s="13" t="s">
        <v>41</v>
      </c>
      <c r="I3" s="13" t="s">
        <v>214</v>
      </c>
      <c r="M3" s="27" t="str">
        <f>"*"&amp;'Inventory Management'!AC4&amp;"*"</f>
        <v>*o*</v>
      </c>
      <c r="P3" s="1">
        <v>3</v>
      </c>
      <c r="Q3" t="s">
        <v>124</v>
      </c>
      <c r="R3" t="s">
        <v>125</v>
      </c>
      <c r="S3" t="s">
        <v>69</v>
      </c>
      <c r="T3" t="s">
        <v>70</v>
      </c>
      <c r="U3">
        <v>55211</v>
      </c>
      <c r="V3" t="s">
        <v>126</v>
      </c>
      <c r="W3" s="28" t="s">
        <v>127</v>
      </c>
      <c r="X3" s="1">
        <v>6</v>
      </c>
    </row>
    <row r="4" spans="1:24" x14ac:dyDescent="0.25">
      <c r="A4" s="1">
        <v>1</v>
      </c>
      <c r="B4" t="s">
        <v>116</v>
      </c>
      <c r="C4" t="s">
        <v>117</v>
      </c>
      <c r="D4" t="s">
        <v>69</v>
      </c>
      <c r="E4" t="s">
        <v>75</v>
      </c>
      <c r="F4">
        <v>50233</v>
      </c>
      <c r="G4" t="s">
        <v>118</v>
      </c>
      <c r="H4" s="28" t="s">
        <v>119</v>
      </c>
      <c r="I4" s="1">
        <f>ROW()</f>
        <v>4</v>
      </c>
      <c r="P4" s="1">
        <v>4</v>
      </c>
      <c r="Q4" t="s">
        <v>128</v>
      </c>
      <c r="R4" t="s">
        <v>129</v>
      </c>
      <c r="S4" t="s">
        <v>80</v>
      </c>
      <c r="T4" t="s">
        <v>81</v>
      </c>
      <c r="U4">
        <v>40222</v>
      </c>
      <c r="V4" t="s">
        <v>133</v>
      </c>
      <c r="W4" s="28" t="s">
        <v>134</v>
      </c>
      <c r="X4" s="1">
        <v>7</v>
      </c>
    </row>
    <row r="5" spans="1:24" x14ac:dyDescent="0.25">
      <c r="A5" s="1">
        <v>2</v>
      </c>
      <c r="B5" t="s">
        <v>120</v>
      </c>
      <c r="C5" t="s">
        <v>121</v>
      </c>
      <c r="D5" t="s">
        <v>101</v>
      </c>
      <c r="E5" t="s">
        <v>105</v>
      </c>
      <c r="F5">
        <v>67890</v>
      </c>
      <c r="G5" t="s">
        <v>122</v>
      </c>
      <c r="H5" s="28" t="s">
        <v>123</v>
      </c>
      <c r="I5" s="1">
        <f>ROW()</f>
        <v>5</v>
      </c>
      <c r="P5" s="1">
        <v>5</v>
      </c>
      <c r="Q5" t="s">
        <v>130</v>
      </c>
      <c r="R5" t="s">
        <v>131</v>
      </c>
      <c r="S5" t="s">
        <v>132</v>
      </c>
      <c r="T5" t="s">
        <v>91</v>
      </c>
      <c r="U5">
        <v>67890</v>
      </c>
      <c r="V5" t="s">
        <v>126</v>
      </c>
      <c r="W5" s="28" t="s">
        <v>138</v>
      </c>
      <c r="X5" s="1">
        <v>8</v>
      </c>
    </row>
    <row r="6" spans="1:24" x14ac:dyDescent="0.25">
      <c r="A6" s="1">
        <v>3</v>
      </c>
      <c r="B6" t="s">
        <v>124</v>
      </c>
      <c r="C6" t="s">
        <v>125</v>
      </c>
      <c r="D6" t="s">
        <v>69</v>
      </c>
      <c r="E6" t="s">
        <v>70</v>
      </c>
      <c r="F6">
        <v>55211</v>
      </c>
      <c r="G6" t="s">
        <v>126</v>
      </c>
      <c r="H6" s="28" t="s">
        <v>127</v>
      </c>
      <c r="I6" s="1">
        <f>ROW()</f>
        <v>6</v>
      </c>
      <c r="P6" s="1">
        <v>6</v>
      </c>
      <c r="Q6" t="s">
        <v>135</v>
      </c>
      <c r="R6" t="s">
        <v>136</v>
      </c>
      <c r="S6" t="s">
        <v>69</v>
      </c>
      <c r="T6" t="s">
        <v>137</v>
      </c>
      <c r="U6">
        <v>54321</v>
      </c>
      <c r="V6" t="s">
        <v>133</v>
      </c>
      <c r="W6" s="28" t="s">
        <v>138</v>
      </c>
      <c r="X6" s="1">
        <v>9</v>
      </c>
    </row>
    <row r="7" spans="1:24" x14ac:dyDescent="0.25">
      <c r="A7" s="1">
        <v>4</v>
      </c>
      <c r="B7" t="s">
        <v>128</v>
      </c>
      <c r="C7" t="s">
        <v>129</v>
      </c>
      <c r="D7" t="s">
        <v>80</v>
      </c>
      <c r="E7" t="s">
        <v>81</v>
      </c>
      <c r="F7">
        <v>40222</v>
      </c>
      <c r="G7" t="s">
        <v>133</v>
      </c>
      <c r="H7" s="28" t="s">
        <v>134</v>
      </c>
      <c r="I7" s="1">
        <f>ROW()</f>
        <v>7</v>
      </c>
      <c r="P7" s="1">
        <v>10</v>
      </c>
      <c r="Q7" t="s">
        <v>54</v>
      </c>
      <c r="R7" t="s">
        <v>229</v>
      </c>
      <c r="S7" t="s">
        <v>227</v>
      </c>
      <c r="T7" t="s">
        <v>228</v>
      </c>
      <c r="U7">
        <v>45678</v>
      </c>
      <c r="V7" t="s">
        <v>142</v>
      </c>
      <c r="W7" t="s">
        <v>55</v>
      </c>
      <c r="X7" s="1">
        <v>13</v>
      </c>
    </row>
    <row r="8" spans="1:24" x14ac:dyDescent="0.25">
      <c r="A8" s="1">
        <v>5</v>
      </c>
      <c r="B8" t="s">
        <v>130</v>
      </c>
      <c r="C8" t="s">
        <v>131</v>
      </c>
      <c r="D8" t="s">
        <v>132</v>
      </c>
      <c r="E8" t="s">
        <v>91</v>
      </c>
      <c r="F8">
        <v>67890</v>
      </c>
      <c r="G8" t="s">
        <v>126</v>
      </c>
      <c r="H8" s="28" t="s">
        <v>138</v>
      </c>
      <c r="I8" s="1">
        <f>ROW()</f>
        <v>8</v>
      </c>
      <c r="P8" s="1"/>
      <c r="X8" s="1"/>
    </row>
    <row r="9" spans="1:24" x14ac:dyDescent="0.25">
      <c r="A9" s="1">
        <v>6</v>
      </c>
      <c r="B9" t="s">
        <v>135</v>
      </c>
      <c r="C9" t="s">
        <v>136</v>
      </c>
      <c r="D9" t="s">
        <v>69</v>
      </c>
      <c r="E9" t="s">
        <v>137</v>
      </c>
      <c r="F9">
        <v>54321</v>
      </c>
      <c r="G9" t="s">
        <v>133</v>
      </c>
      <c r="H9" s="28" t="s">
        <v>138</v>
      </c>
      <c r="I9" s="1">
        <f>ROW()</f>
        <v>9</v>
      </c>
      <c r="P9" s="1"/>
      <c r="W9" s="28"/>
      <c r="X9" s="1"/>
    </row>
    <row r="10" spans="1:24" x14ac:dyDescent="0.25">
      <c r="A10" s="1">
        <v>7</v>
      </c>
      <c r="B10" t="s">
        <v>225</v>
      </c>
      <c r="C10" t="s">
        <v>226</v>
      </c>
      <c r="D10" t="s">
        <v>137</v>
      </c>
      <c r="E10" t="s">
        <v>210</v>
      </c>
      <c r="F10">
        <v>12345</v>
      </c>
      <c r="G10" t="s">
        <v>142</v>
      </c>
      <c r="H10" s="28" t="s">
        <v>138</v>
      </c>
      <c r="I10" s="1">
        <f>ROW()</f>
        <v>10</v>
      </c>
      <c r="P10" s="1"/>
      <c r="W10" s="28"/>
      <c r="X10" s="1"/>
    </row>
    <row r="11" spans="1:24" x14ac:dyDescent="0.25">
      <c r="A11" s="1">
        <v>8</v>
      </c>
      <c r="B11" t="s">
        <v>139</v>
      </c>
      <c r="C11" t="s">
        <v>140</v>
      </c>
      <c r="D11" t="s">
        <v>101</v>
      </c>
      <c r="E11" t="s">
        <v>102</v>
      </c>
      <c r="F11">
        <v>65133</v>
      </c>
      <c r="G11" t="s">
        <v>141</v>
      </c>
      <c r="H11" s="28" t="s">
        <v>138</v>
      </c>
      <c r="I11" s="1">
        <f>ROW()</f>
        <v>11</v>
      </c>
      <c r="P11" s="1"/>
      <c r="X11" s="1"/>
    </row>
    <row r="12" spans="1:24" x14ac:dyDescent="0.25">
      <c r="A12" s="1">
        <v>9</v>
      </c>
      <c r="B12" t="s">
        <v>51</v>
      </c>
      <c r="C12" t="s">
        <v>143</v>
      </c>
      <c r="D12" t="s">
        <v>52</v>
      </c>
      <c r="E12" t="s">
        <v>53</v>
      </c>
      <c r="F12">
        <v>34567</v>
      </c>
      <c r="G12" t="s">
        <v>43</v>
      </c>
      <c r="H12" t="s">
        <v>144</v>
      </c>
      <c r="I12" s="1">
        <f>ROW()</f>
        <v>12</v>
      </c>
      <c r="P12" s="1"/>
      <c r="X12" s="1"/>
    </row>
    <row r="13" spans="1:24" x14ac:dyDescent="0.25">
      <c r="A13" s="1">
        <v>10</v>
      </c>
      <c r="B13" t="s">
        <v>54</v>
      </c>
      <c r="C13" t="s">
        <v>229</v>
      </c>
      <c r="D13" t="s">
        <v>227</v>
      </c>
      <c r="E13" t="s">
        <v>228</v>
      </c>
      <c r="F13">
        <v>45678</v>
      </c>
      <c r="G13" t="s">
        <v>142</v>
      </c>
      <c r="H13" t="s">
        <v>55</v>
      </c>
      <c r="I13" s="1">
        <f>ROW()</f>
        <v>13</v>
      </c>
      <c r="P13" s="1"/>
      <c r="X13" s="1"/>
    </row>
    <row r="14" spans="1:24" x14ac:dyDescent="0.25">
      <c r="A14" s="1">
        <v>11</v>
      </c>
      <c r="B14" t="s">
        <v>145</v>
      </c>
      <c r="C14" t="s">
        <v>146</v>
      </c>
      <c r="D14" t="s">
        <v>90</v>
      </c>
      <c r="E14" t="s">
        <v>147</v>
      </c>
      <c r="F14">
        <v>56789</v>
      </c>
      <c r="G14" t="s">
        <v>148</v>
      </c>
      <c r="H14" t="s">
        <v>149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2">
    <cfRule type="expression" dxfId="3" priority="1">
      <formula>AND($A4&lt;&gt;"",MOD(ROW(),2)=0)</formula>
    </cfRule>
  </conditionalFormatting>
  <hyperlinks>
    <hyperlink ref="H4" r:id="rId1" xr:uid="{E5621F8D-7F28-4F3D-9409-2D17B8EC0506}"/>
    <hyperlink ref="H5" r:id="rId2" xr:uid="{38E46661-6972-405E-838C-3197CF66C6BD}"/>
    <hyperlink ref="H6" r:id="rId3" xr:uid="{0BFE580A-BD8A-4838-B4A3-8F30C1E8EFDD}"/>
    <hyperlink ref="H7" r:id="rId4" xr:uid="{E45FAEB2-54EE-480B-AD2F-97AF9DA02D67}"/>
    <hyperlink ref="H8" r:id="rId5" xr:uid="{367A6AD7-EF72-49AA-88EF-B32991DBFE03}"/>
    <hyperlink ref="H9" r:id="rId6" xr:uid="{6112EB04-219E-4B2A-9266-22617317C3F0}"/>
    <hyperlink ref="H10" r:id="rId7" xr:uid="{607D0A9D-F654-437D-9981-B8FA6D059E3A}"/>
    <hyperlink ref="H11" r:id="rId8" xr:uid="{72079197-625A-45E3-AA73-823D853F2E0E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24"/>
  <sheetViews>
    <sheetView zoomScale="117" workbookViewId="0">
      <selection activeCell="F11" sqref="F11"/>
    </sheetView>
  </sheetViews>
  <sheetFormatPr defaultRowHeight="15" x14ac:dyDescent="0.25"/>
  <cols>
    <col min="1" max="1" width="15.28515625" style="1" customWidth="1"/>
    <col min="2" max="2" width="16.7109375" customWidth="1"/>
    <col min="3" max="3" width="24.7109375" customWidth="1"/>
    <col min="4" max="4" width="17.5703125" style="33" customWidth="1"/>
    <col min="5" max="5" width="26.140625" customWidth="1"/>
    <col min="6" max="6" width="10.42578125" bestFit="1" customWidth="1"/>
  </cols>
  <sheetData>
    <row r="1" spans="1:6" ht="21" customHeight="1" x14ac:dyDescent="0.25">
      <c r="A1" s="141" t="s">
        <v>171</v>
      </c>
      <c r="B1" s="141"/>
      <c r="C1" s="141"/>
      <c r="D1" s="141"/>
      <c r="E1" s="141"/>
    </row>
    <row r="2" spans="1:6" ht="21" customHeight="1" x14ac:dyDescent="0.25">
      <c r="A2" s="141"/>
      <c r="B2" s="141"/>
      <c r="C2" s="141"/>
      <c r="D2" s="141"/>
      <c r="E2" s="141"/>
    </row>
    <row r="3" spans="1:6" x14ac:dyDescent="0.25">
      <c r="A3" s="13" t="s">
        <v>170</v>
      </c>
      <c r="B3" s="13" t="s">
        <v>172</v>
      </c>
      <c r="C3" s="13" t="s">
        <v>174</v>
      </c>
      <c r="D3" s="56" t="s">
        <v>173</v>
      </c>
      <c r="E3" s="13" t="s">
        <v>175</v>
      </c>
    </row>
    <row r="4" spans="1:6" x14ac:dyDescent="0.25">
      <c r="A4" s="1">
        <v>1</v>
      </c>
      <c r="B4" t="s">
        <v>169</v>
      </c>
      <c r="C4" t="s">
        <v>124</v>
      </c>
      <c r="D4" s="33">
        <v>45991</v>
      </c>
      <c r="E4" s="109">
        <v>200000</v>
      </c>
      <c r="F4" s="33"/>
    </row>
    <row r="5" spans="1:6" x14ac:dyDescent="0.25">
      <c r="A5" s="1">
        <v>2</v>
      </c>
      <c r="B5" t="s">
        <v>178</v>
      </c>
      <c r="C5" t="s">
        <v>95</v>
      </c>
      <c r="D5" s="33">
        <v>45991</v>
      </c>
      <c r="E5" s="109">
        <v>13200</v>
      </c>
      <c r="F5" s="33"/>
    </row>
    <row r="6" spans="1:6" x14ac:dyDescent="0.25">
      <c r="A6" s="1">
        <v>3</v>
      </c>
      <c r="B6" t="s">
        <v>178</v>
      </c>
      <c r="C6" t="s">
        <v>73</v>
      </c>
      <c r="D6" s="33">
        <v>45991</v>
      </c>
      <c r="E6" s="109">
        <v>13200</v>
      </c>
      <c r="F6" s="33"/>
    </row>
    <row r="7" spans="1:6" x14ac:dyDescent="0.25">
      <c r="A7" s="1">
        <v>4</v>
      </c>
      <c r="B7" t="s">
        <v>169</v>
      </c>
      <c r="C7" t="s">
        <v>120</v>
      </c>
      <c r="D7" s="33">
        <v>45994</v>
      </c>
      <c r="E7" s="109">
        <v>165000</v>
      </c>
      <c r="F7" s="33"/>
    </row>
    <row r="8" spans="1:6" x14ac:dyDescent="0.25">
      <c r="A8" s="1">
        <v>5</v>
      </c>
      <c r="B8" t="s">
        <v>178</v>
      </c>
      <c r="C8" t="s">
        <v>67</v>
      </c>
      <c r="D8" s="33">
        <v>45994</v>
      </c>
      <c r="E8" s="109">
        <v>13200</v>
      </c>
    </row>
    <row r="9" spans="1:6" x14ac:dyDescent="0.25">
      <c r="A9" s="1">
        <v>6</v>
      </c>
      <c r="B9" t="s">
        <v>178</v>
      </c>
      <c r="C9" t="s">
        <v>84</v>
      </c>
      <c r="D9" s="33">
        <v>45994</v>
      </c>
      <c r="E9" s="109">
        <v>0</v>
      </c>
    </row>
    <row r="10" spans="1:6" x14ac:dyDescent="0.25">
      <c r="A10" s="1">
        <v>7</v>
      </c>
      <c r="B10" t="s">
        <v>169</v>
      </c>
      <c r="C10" t="s">
        <v>124</v>
      </c>
      <c r="D10" s="33">
        <v>45994</v>
      </c>
      <c r="E10" s="109">
        <v>110000</v>
      </c>
    </row>
    <row r="11" spans="1:6" x14ac:dyDescent="0.25">
      <c r="A11" s="1">
        <v>8</v>
      </c>
      <c r="B11" t="s">
        <v>169</v>
      </c>
      <c r="C11" t="s">
        <v>130</v>
      </c>
      <c r="D11" s="33">
        <v>45995</v>
      </c>
      <c r="E11" s="109">
        <v>165000</v>
      </c>
    </row>
    <row r="12" spans="1:6" x14ac:dyDescent="0.25">
      <c r="A12" s="1">
        <v>9</v>
      </c>
      <c r="B12" t="s">
        <v>169</v>
      </c>
      <c r="C12" t="s">
        <v>135</v>
      </c>
      <c r="D12" s="33">
        <v>45995</v>
      </c>
      <c r="E12" s="109">
        <v>110000</v>
      </c>
    </row>
    <row r="13" spans="1:6" x14ac:dyDescent="0.25">
      <c r="A13" s="1">
        <v>10</v>
      </c>
      <c r="B13" t="s">
        <v>169</v>
      </c>
      <c r="C13" t="s">
        <v>120</v>
      </c>
      <c r="D13" s="33">
        <v>45995</v>
      </c>
      <c r="E13" s="109">
        <v>165000</v>
      </c>
    </row>
    <row r="14" spans="1:6" x14ac:dyDescent="0.25">
      <c r="A14" s="1">
        <v>11</v>
      </c>
      <c r="B14" t="s">
        <v>178</v>
      </c>
      <c r="C14" t="s">
        <v>78</v>
      </c>
      <c r="D14" s="33">
        <v>45995</v>
      </c>
      <c r="E14" s="109">
        <v>110000</v>
      </c>
    </row>
    <row r="15" spans="1:6" x14ac:dyDescent="0.25">
      <c r="A15" s="1">
        <v>12</v>
      </c>
      <c r="B15" t="s">
        <v>178</v>
      </c>
      <c r="C15" t="s">
        <v>88</v>
      </c>
      <c r="D15" s="33">
        <v>45995</v>
      </c>
      <c r="E15" s="109">
        <v>330000</v>
      </c>
    </row>
    <row r="16" spans="1:6" x14ac:dyDescent="0.25">
      <c r="A16" s="1">
        <v>13</v>
      </c>
      <c r="B16" t="s">
        <v>169</v>
      </c>
      <c r="C16" t="s">
        <v>124</v>
      </c>
      <c r="D16" s="33">
        <v>45996</v>
      </c>
      <c r="E16" s="109">
        <v>4950000</v>
      </c>
    </row>
    <row r="17" spans="1:5" x14ac:dyDescent="0.25">
      <c r="A17" s="1">
        <v>14</v>
      </c>
      <c r="B17" t="s">
        <v>178</v>
      </c>
      <c r="C17" t="s">
        <v>99</v>
      </c>
      <c r="D17" s="33">
        <v>45996</v>
      </c>
      <c r="E17" s="109">
        <v>13200</v>
      </c>
    </row>
    <row r="18" spans="1:5" x14ac:dyDescent="0.25">
      <c r="A18" s="1">
        <v>15</v>
      </c>
      <c r="B18" t="s">
        <v>169</v>
      </c>
      <c r="C18" t="s">
        <v>124</v>
      </c>
      <c r="D18" s="33">
        <v>45996</v>
      </c>
      <c r="E18" s="109">
        <v>30000</v>
      </c>
    </row>
    <row r="19" spans="1:5" x14ac:dyDescent="0.25">
      <c r="A19" s="1">
        <v>16</v>
      </c>
      <c r="B19" t="s">
        <v>169</v>
      </c>
      <c r="C19" t="s">
        <v>128</v>
      </c>
      <c r="D19" s="33">
        <v>45996</v>
      </c>
      <c r="E19" s="109">
        <v>30000</v>
      </c>
    </row>
    <row r="20" spans="1:5" x14ac:dyDescent="0.25">
      <c r="A20" s="1">
        <v>17</v>
      </c>
      <c r="B20" t="s">
        <v>178</v>
      </c>
      <c r="C20" t="s">
        <v>78</v>
      </c>
      <c r="D20" s="33">
        <v>45996</v>
      </c>
      <c r="E20" s="109">
        <v>50000</v>
      </c>
    </row>
    <row r="21" spans="1:5" x14ac:dyDescent="0.25">
      <c r="A21" s="1">
        <v>18</v>
      </c>
      <c r="B21" t="s">
        <v>178</v>
      </c>
      <c r="C21" t="s">
        <v>73</v>
      </c>
      <c r="D21" s="33">
        <v>45996</v>
      </c>
      <c r="E21" s="109">
        <v>50000</v>
      </c>
    </row>
    <row r="22" spans="1:5" x14ac:dyDescent="0.25">
      <c r="A22" s="1">
        <v>19</v>
      </c>
      <c r="B22" t="s">
        <v>178</v>
      </c>
      <c r="C22" t="s">
        <v>78</v>
      </c>
      <c r="D22" s="33">
        <v>45996</v>
      </c>
      <c r="E22" s="109">
        <v>50000</v>
      </c>
    </row>
    <row r="23" spans="1:5" x14ac:dyDescent="0.25">
      <c r="A23" s="1">
        <v>20</v>
      </c>
      <c r="B23" t="s">
        <v>169</v>
      </c>
      <c r="C23" t="s">
        <v>135</v>
      </c>
      <c r="D23" s="33">
        <v>45996</v>
      </c>
      <c r="E23" s="109">
        <v>30000</v>
      </c>
    </row>
    <row r="24" spans="1:5" x14ac:dyDescent="0.25">
      <c r="A24" s="1">
        <v>21</v>
      </c>
      <c r="B24" t="s">
        <v>169</v>
      </c>
      <c r="C24" t="s">
        <v>128</v>
      </c>
      <c r="D24" s="33">
        <v>45997</v>
      </c>
      <c r="E24" s="109">
        <v>100000</v>
      </c>
    </row>
  </sheetData>
  <mergeCells count="1">
    <mergeCell ref="A1:E2"/>
  </mergeCells>
  <conditionalFormatting sqref="A4:E9948">
    <cfRule type="expression" dxfId="2" priority="1">
      <formula>AND($A4&lt;&gt;"",MOD(ROW(),2)=0)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557"/>
  <sheetViews>
    <sheetView topLeftCell="E1" workbookViewId="0">
      <selection activeCell="P1" sqref="P1:X1"/>
    </sheetView>
  </sheetViews>
  <sheetFormatPr defaultRowHeight="15" x14ac:dyDescent="0.25"/>
  <cols>
    <col min="1" max="1" width="9.5703125" style="1" customWidth="1"/>
    <col min="2" max="2" width="24.42578125" bestFit="1" customWidth="1"/>
    <col min="3" max="3" width="48.140625" bestFit="1" customWidth="1"/>
    <col min="4" max="4" width="29.42578125" bestFit="1" customWidth="1"/>
    <col min="5" max="5" width="15" customWidth="1"/>
    <col min="6" max="6" width="15.5703125" customWidth="1"/>
    <col min="7" max="7" width="15.85546875" customWidth="1"/>
    <col min="8" max="8" width="16.5703125" customWidth="1"/>
    <col min="9" max="9" width="8.7109375" style="1"/>
    <col min="10" max="12" width="3.140625" customWidth="1"/>
    <col min="13" max="13" width="12.85546875" hidden="1" customWidth="1"/>
    <col min="14" max="15" width="3.85546875" customWidth="1"/>
    <col min="16" max="16" width="13.28515625" customWidth="1"/>
    <col min="17" max="17" width="14.5703125" customWidth="1"/>
    <col min="18" max="18" width="11" customWidth="1"/>
    <col min="19" max="19" width="11.140625" customWidth="1"/>
    <col min="20" max="20" width="13.140625" bestFit="1" customWidth="1"/>
    <col min="21" max="21" width="11.140625" customWidth="1"/>
    <col min="22" max="22" width="14.28515625" customWidth="1"/>
    <col min="23" max="23" width="15.140625" customWidth="1"/>
    <col min="24" max="24" width="7.85546875" customWidth="1"/>
  </cols>
  <sheetData>
    <row r="1" spans="1:24" ht="14.45" customHeight="1" x14ac:dyDescent="0.25">
      <c r="A1" s="141" t="s">
        <v>166</v>
      </c>
      <c r="B1" s="141"/>
      <c r="C1" s="141"/>
      <c r="D1" s="141"/>
      <c r="E1" s="141"/>
      <c r="F1" s="141"/>
      <c r="G1" s="141"/>
      <c r="H1" s="141"/>
      <c r="I1" s="141"/>
      <c r="M1" s="17" t="s">
        <v>56</v>
      </c>
      <c r="P1" s="143" t="s">
        <v>235</v>
      </c>
      <c r="Q1" s="143"/>
      <c r="R1" s="143"/>
      <c r="S1" s="143"/>
      <c r="T1" s="143"/>
      <c r="U1" s="143"/>
      <c r="V1" s="143"/>
      <c r="W1" s="143"/>
      <c r="X1" s="143"/>
    </row>
    <row r="2" spans="1:24" ht="14.45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M2" s="13" t="s">
        <v>60</v>
      </c>
      <c r="P2" s="13" t="s">
        <v>59</v>
      </c>
      <c r="Q2" s="13" t="s">
        <v>60</v>
      </c>
      <c r="R2" s="13" t="s">
        <v>61</v>
      </c>
      <c r="S2" s="13" t="s">
        <v>62</v>
      </c>
      <c r="T2" s="13" t="s">
        <v>63</v>
      </c>
      <c r="U2" s="13" t="s">
        <v>64</v>
      </c>
      <c r="V2" s="13" t="s">
        <v>65</v>
      </c>
      <c r="W2" s="14" t="s">
        <v>66</v>
      </c>
      <c r="X2" s="15" t="s">
        <v>214</v>
      </c>
    </row>
    <row r="3" spans="1:24" x14ac:dyDescent="0.25">
      <c r="A3" s="95" t="s">
        <v>59</v>
      </c>
      <c r="B3" s="95" t="s">
        <v>60</v>
      </c>
      <c r="C3" s="95" t="s">
        <v>61</v>
      </c>
      <c r="D3" s="95" t="s">
        <v>62</v>
      </c>
      <c r="E3" s="95" t="s">
        <v>63</v>
      </c>
      <c r="F3" s="95" t="s">
        <v>64</v>
      </c>
      <c r="G3" s="95" t="s">
        <v>65</v>
      </c>
      <c r="H3" s="96" t="s">
        <v>66</v>
      </c>
      <c r="I3" s="97" t="s">
        <v>214</v>
      </c>
      <c r="M3" s="27" t="str">
        <f>"*"&amp;'Inventory Management'!AN4&amp;"*"</f>
        <v>*h*</v>
      </c>
      <c r="P3" s="101">
        <v>1</v>
      </c>
      <c r="Q3" s="102" t="s">
        <v>155</v>
      </c>
      <c r="R3" s="102" t="s">
        <v>156</v>
      </c>
      <c r="S3" s="102" t="s">
        <v>154</v>
      </c>
      <c r="T3" s="106">
        <v>120000</v>
      </c>
      <c r="U3" s="106">
        <v>200000</v>
      </c>
      <c r="V3" s="102">
        <v>10</v>
      </c>
      <c r="W3" s="106">
        <v>1200000</v>
      </c>
      <c r="X3" s="103">
        <v>4</v>
      </c>
    </row>
    <row r="4" spans="1:24" x14ac:dyDescent="0.25">
      <c r="A4" s="101">
        <v>1</v>
      </c>
      <c r="B4" s="102" t="s">
        <v>155</v>
      </c>
      <c r="C4" s="102" t="s">
        <v>156</v>
      </c>
      <c r="D4" s="102" t="s">
        <v>154</v>
      </c>
      <c r="E4" s="106">
        <v>120000</v>
      </c>
      <c r="F4" s="106">
        <v>200000</v>
      </c>
      <c r="G4" s="102" cm="1">
        <f t="array" aca="1" ref="G4" ca="1">SUMIFS(OrdItem_Qty,OrdItem_ProdNm,B4,OrdItem_Type,"Pembelian")-SUMIFS(OrdItem_Qty,OrdItem_ProdNm,B4,OrdItem_Type,"Penjualan")</f>
        <v>10</v>
      </c>
      <c r="H4" s="106">
        <f ca="1">E4*G4</f>
        <v>1200000</v>
      </c>
      <c r="I4" s="103">
        <f>ROW()</f>
        <v>4</v>
      </c>
      <c r="J4" s="3"/>
      <c r="P4" s="98">
        <v>5</v>
      </c>
      <c r="Q4" s="99" t="s">
        <v>159</v>
      </c>
      <c r="R4" s="99" t="s">
        <v>160</v>
      </c>
      <c r="S4" s="99" t="s">
        <v>154</v>
      </c>
      <c r="T4" s="107">
        <v>30000</v>
      </c>
      <c r="U4" s="107">
        <v>50000</v>
      </c>
      <c r="V4" s="102">
        <v>0</v>
      </c>
      <c r="W4" s="107">
        <v>0</v>
      </c>
      <c r="X4" s="100">
        <v>8</v>
      </c>
    </row>
    <row r="5" spans="1:24" x14ac:dyDescent="0.25">
      <c r="A5" s="98">
        <v>2</v>
      </c>
      <c r="B5" s="99" t="s">
        <v>150</v>
      </c>
      <c r="C5" s="99" t="s">
        <v>151</v>
      </c>
      <c r="D5" s="99" t="s">
        <v>154</v>
      </c>
      <c r="E5" s="107">
        <v>80000</v>
      </c>
      <c r="F5" s="107">
        <v>100000</v>
      </c>
      <c r="G5" s="102" cm="1">
        <f t="array" aca="1" ref="G5" ca="1">SUMIFS(OrdItem_Qty,OrdItem_ProdNm,B5,OrdItem_Type,"Pembelian")-SUMIFS(OrdItem_Qty,OrdItem_ProdNm,B5,OrdItem_Type,"Penjualan")</f>
        <v>9</v>
      </c>
      <c r="H5" s="107">
        <f t="shared" ref="H5:H8" ca="1" si="0">E5*G5</f>
        <v>720000</v>
      </c>
      <c r="I5" s="100">
        <f>ROW()</f>
        <v>5</v>
      </c>
      <c r="J5" s="3"/>
      <c r="P5" s="98"/>
      <c r="Q5" s="99"/>
      <c r="R5" s="99"/>
      <c r="S5" s="99"/>
      <c r="T5" s="107"/>
      <c r="U5" s="107"/>
      <c r="V5" s="102"/>
      <c r="W5" s="107"/>
      <c r="X5" s="100"/>
    </row>
    <row r="6" spans="1:24" x14ac:dyDescent="0.25">
      <c r="A6" s="98">
        <v>3</v>
      </c>
      <c r="B6" s="99" t="s">
        <v>152</v>
      </c>
      <c r="C6" s="99" t="s">
        <v>153</v>
      </c>
      <c r="D6" s="99" t="s">
        <v>154</v>
      </c>
      <c r="E6" s="107">
        <v>150000</v>
      </c>
      <c r="F6" s="107">
        <v>300000</v>
      </c>
      <c r="G6" s="102" cm="1">
        <f t="array" aca="1" ref="G6" ca="1">SUMIFS(OrdItem_Qty,OrdItem_ProdNm,B6,OrdItem_Type,"Pembelian")-SUMIFS(OrdItem_Qty,OrdItem_ProdNm,B6,OrdItem_Type,"Penjualan")</f>
        <v>11</v>
      </c>
      <c r="H6" s="107">
        <f t="shared" ca="1" si="0"/>
        <v>1650000</v>
      </c>
      <c r="I6" s="100">
        <f>ROW()</f>
        <v>6</v>
      </c>
      <c r="J6" s="3"/>
      <c r="P6" s="98"/>
      <c r="Q6" s="99"/>
      <c r="R6" s="99"/>
      <c r="S6" s="99"/>
      <c r="T6" s="121"/>
      <c r="U6" s="121"/>
      <c r="V6" s="102"/>
      <c r="W6" s="107"/>
      <c r="X6" s="100"/>
    </row>
    <row r="7" spans="1:24" x14ac:dyDescent="0.25">
      <c r="A7" s="98">
        <v>4</v>
      </c>
      <c r="B7" s="99" t="s">
        <v>157</v>
      </c>
      <c r="C7" s="99" t="s">
        <v>158</v>
      </c>
      <c r="D7" s="99" t="s">
        <v>154</v>
      </c>
      <c r="E7" s="121">
        <v>100000</v>
      </c>
      <c r="F7" s="121">
        <v>12000</v>
      </c>
      <c r="G7" s="102" cm="1">
        <f t="array" aca="1" ref="G7" ca="1">SUMIFS(OrdItem_Qty,OrdItem_ProdNm,B7,OrdItem_Type,"Pembelian")-SUMIFS(OrdItem_Qty,OrdItem_ProdNm,B7,OrdItem_Type,"Penjualan")</f>
        <v>10</v>
      </c>
      <c r="H7" s="107">
        <f t="shared" ca="1" si="0"/>
        <v>1000000</v>
      </c>
      <c r="I7" s="100">
        <f>ROW()</f>
        <v>7</v>
      </c>
      <c r="J7" s="3"/>
      <c r="P7" s="98"/>
      <c r="Q7" s="99"/>
      <c r="R7" s="99"/>
      <c r="S7" s="99"/>
      <c r="T7" s="107"/>
      <c r="U7" s="107"/>
      <c r="V7" s="102"/>
      <c r="W7" s="107"/>
      <c r="X7" s="100"/>
    </row>
    <row r="8" spans="1:24" x14ac:dyDescent="0.25">
      <c r="A8" s="98">
        <v>5</v>
      </c>
      <c r="B8" s="99" t="s">
        <v>159</v>
      </c>
      <c r="C8" s="99" t="s">
        <v>160</v>
      </c>
      <c r="D8" s="99" t="s">
        <v>154</v>
      </c>
      <c r="E8" s="107">
        <v>30000</v>
      </c>
      <c r="F8" s="107">
        <v>50000</v>
      </c>
      <c r="G8" s="102" cm="1">
        <f t="array" aca="1" ref="G8" ca="1">SUMIFS(OrdItem_Qty,OrdItem_ProdNm,B8,OrdItem_Type,"Pembelian")-SUMIFS(OrdItem_Qty,OrdItem_ProdNm,B8,OrdItem_Type,"Penjualan")</f>
        <v>0</v>
      </c>
      <c r="H8" s="107">
        <f t="shared" ca="1" si="0"/>
        <v>0</v>
      </c>
      <c r="I8" s="100">
        <f>ROW()</f>
        <v>8</v>
      </c>
      <c r="J8" s="3"/>
      <c r="P8" s="1"/>
      <c r="T8" s="104"/>
      <c r="U8" s="104"/>
      <c r="W8" s="104"/>
      <c r="X8" s="1"/>
    </row>
    <row r="9" spans="1:24" x14ac:dyDescent="0.25">
      <c r="E9" s="104"/>
      <c r="F9" s="104"/>
      <c r="H9" s="104"/>
    </row>
    <row r="10" spans="1:24" x14ac:dyDescent="0.25">
      <c r="E10" s="104"/>
      <c r="F10" s="104"/>
      <c r="H10" s="104"/>
    </row>
    <row r="11" spans="1:24" x14ac:dyDescent="0.25">
      <c r="E11" s="104"/>
      <c r="F11" s="104"/>
      <c r="H11" s="104"/>
    </row>
    <row r="12" spans="1:24" x14ac:dyDescent="0.25">
      <c r="E12" s="104"/>
      <c r="F12" s="104"/>
      <c r="H12" s="104"/>
    </row>
    <row r="13" spans="1:24" x14ac:dyDescent="0.25">
      <c r="E13" s="104"/>
      <c r="F13" s="104"/>
      <c r="H13" s="104"/>
    </row>
    <row r="14" spans="1:24" x14ac:dyDescent="0.25">
      <c r="E14" s="104"/>
      <c r="F14" s="104"/>
      <c r="H14" s="104"/>
    </row>
    <row r="15" spans="1:24" x14ac:dyDescent="0.25">
      <c r="E15" s="104"/>
      <c r="F15" s="104"/>
      <c r="H15" s="104"/>
    </row>
    <row r="16" spans="1:24" x14ac:dyDescent="0.25">
      <c r="E16" s="104"/>
      <c r="F16" s="104"/>
      <c r="H16" s="104"/>
    </row>
    <row r="17" spans="5:8" x14ac:dyDescent="0.25">
      <c r="E17" s="104"/>
      <c r="F17" s="104"/>
      <c r="H17" s="104"/>
    </row>
    <row r="18" spans="5:8" x14ac:dyDescent="0.25">
      <c r="E18" s="3"/>
      <c r="F18" s="3"/>
      <c r="H18" s="104"/>
    </row>
    <row r="19" spans="5:8" x14ac:dyDescent="0.25">
      <c r="E19" s="3"/>
      <c r="F19" s="3"/>
      <c r="H19" s="104"/>
    </row>
    <row r="20" spans="5:8" x14ac:dyDescent="0.25">
      <c r="E20" s="3"/>
      <c r="F20" s="3"/>
      <c r="H20" s="104"/>
    </row>
    <row r="21" spans="5:8" x14ac:dyDescent="0.25">
      <c r="E21" s="3"/>
      <c r="F21" s="3"/>
      <c r="H21" s="3"/>
    </row>
    <row r="22" spans="5:8" x14ac:dyDescent="0.25">
      <c r="E22" s="3"/>
      <c r="F22" s="3"/>
      <c r="H22" s="3"/>
    </row>
    <row r="23" spans="5:8" x14ac:dyDescent="0.25">
      <c r="E23" s="3"/>
      <c r="F23" s="3"/>
      <c r="H23" s="3"/>
    </row>
    <row r="24" spans="5:8" x14ac:dyDescent="0.25">
      <c r="E24" s="3"/>
      <c r="F24" s="3"/>
      <c r="H24" s="3"/>
    </row>
    <row r="25" spans="5:8" x14ac:dyDescent="0.25">
      <c r="E25" s="3"/>
      <c r="F25" s="3"/>
      <c r="H25" s="3"/>
    </row>
    <row r="26" spans="5:8" x14ac:dyDescent="0.25">
      <c r="E26" s="3"/>
      <c r="F26" s="3"/>
      <c r="H26" s="3"/>
    </row>
    <row r="27" spans="5:8" x14ac:dyDescent="0.25">
      <c r="E27" s="3"/>
      <c r="F27" s="3"/>
      <c r="H27" s="3"/>
    </row>
    <row r="28" spans="5:8" x14ac:dyDescent="0.25">
      <c r="E28" s="3"/>
      <c r="F28" s="3"/>
      <c r="H28" s="3"/>
    </row>
    <row r="29" spans="5:8" x14ac:dyDescent="0.25">
      <c r="E29" s="3"/>
      <c r="F29" s="3"/>
      <c r="H29" s="3"/>
    </row>
    <row r="30" spans="5:8" x14ac:dyDescent="0.25">
      <c r="E30" s="3"/>
      <c r="F30" s="3"/>
      <c r="H30" s="3"/>
    </row>
    <row r="31" spans="5:8" x14ac:dyDescent="0.25">
      <c r="E31" s="3"/>
      <c r="F31" s="3"/>
      <c r="H31" s="3"/>
    </row>
    <row r="32" spans="5:8" x14ac:dyDescent="0.25">
      <c r="E32" s="3"/>
      <c r="F32" s="3"/>
      <c r="H32" s="3"/>
    </row>
    <row r="33" spans="5:8" x14ac:dyDescent="0.25">
      <c r="E33" s="3"/>
      <c r="F33" s="3"/>
      <c r="H33" s="3"/>
    </row>
    <row r="34" spans="5:8" x14ac:dyDescent="0.25">
      <c r="E34" s="3"/>
      <c r="F34" s="3"/>
      <c r="H34" s="3"/>
    </row>
    <row r="35" spans="5:8" x14ac:dyDescent="0.25">
      <c r="E35" s="3"/>
      <c r="F35" s="3"/>
      <c r="H35" s="3"/>
    </row>
    <row r="36" spans="5:8" x14ac:dyDescent="0.25">
      <c r="E36" s="3"/>
      <c r="F36" s="3"/>
      <c r="H36" s="3"/>
    </row>
    <row r="37" spans="5:8" x14ac:dyDescent="0.25">
      <c r="E37" s="3"/>
      <c r="F37" s="3"/>
      <c r="H37" s="3"/>
    </row>
    <row r="38" spans="5:8" x14ac:dyDescent="0.25">
      <c r="E38" s="3"/>
      <c r="F38" s="3"/>
      <c r="H38" s="3"/>
    </row>
    <row r="39" spans="5:8" x14ac:dyDescent="0.25">
      <c r="E39" s="3"/>
      <c r="F39" s="3"/>
      <c r="H39" s="3"/>
    </row>
    <row r="40" spans="5:8" x14ac:dyDescent="0.25">
      <c r="E40" s="3"/>
      <c r="F40" s="3"/>
      <c r="H40" s="3"/>
    </row>
    <row r="41" spans="5:8" x14ac:dyDescent="0.25">
      <c r="E41" s="3"/>
      <c r="F41" s="3"/>
      <c r="H41" s="3"/>
    </row>
    <row r="42" spans="5:8" x14ac:dyDescent="0.25">
      <c r="E42" s="3"/>
      <c r="F42" s="3"/>
      <c r="H42" s="3"/>
    </row>
    <row r="43" spans="5:8" x14ac:dyDescent="0.25">
      <c r="E43" s="3"/>
      <c r="F43" s="3"/>
      <c r="H43" s="3"/>
    </row>
    <row r="44" spans="5:8" x14ac:dyDescent="0.25">
      <c r="E44" s="3"/>
      <c r="F44" s="3"/>
      <c r="H44" s="3"/>
    </row>
    <row r="45" spans="5:8" x14ac:dyDescent="0.25">
      <c r="E45" s="3"/>
      <c r="F45" s="3"/>
      <c r="H45" s="3"/>
    </row>
    <row r="46" spans="5:8" x14ac:dyDescent="0.25">
      <c r="E46" s="3"/>
      <c r="F46" s="3"/>
      <c r="H46" s="3"/>
    </row>
    <row r="47" spans="5:8" x14ac:dyDescent="0.25">
      <c r="E47" s="3"/>
      <c r="F47" s="3"/>
      <c r="H47" s="3"/>
    </row>
    <row r="48" spans="5:8" x14ac:dyDescent="0.25">
      <c r="E48" s="3"/>
      <c r="F48" s="3"/>
      <c r="H48" s="3"/>
    </row>
    <row r="49" spans="5:8" x14ac:dyDescent="0.25">
      <c r="E49" s="3"/>
      <c r="F49" s="3"/>
      <c r="H49" s="3"/>
    </row>
    <row r="50" spans="5:8" x14ac:dyDescent="0.25">
      <c r="E50" s="3"/>
      <c r="F50" s="3"/>
      <c r="H50" s="3"/>
    </row>
    <row r="51" spans="5:8" x14ac:dyDescent="0.25">
      <c r="E51" s="3"/>
      <c r="F51" s="3"/>
      <c r="H51" s="3"/>
    </row>
    <row r="52" spans="5:8" x14ac:dyDescent="0.25">
      <c r="E52" s="3"/>
      <c r="F52" s="3"/>
      <c r="H52" s="3"/>
    </row>
    <row r="53" spans="5:8" x14ac:dyDescent="0.25">
      <c r="E53" s="3"/>
      <c r="F53" s="3"/>
      <c r="H53" s="3"/>
    </row>
    <row r="54" spans="5:8" x14ac:dyDescent="0.25">
      <c r="E54" s="3"/>
      <c r="F54" s="3"/>
      <c r="H54" s="3"/>
    </row>
    <row r="55" spans="5:8" x14ac:dyDescent="0.25">
      <c r="E55" s="3"/>
      <c r="F55" s="3"/>
      <c r="H55" s="3"/>
    </row>
    <row r="56" spans="5:8" x14ac:dyDescent="0.25">
      <c r="E56" s="3"/>
      <c r="F56" s="3"/>
      <c r="H56" s="3"/>
    </row>
    <row r="57" spans="5:8" x14ac:dyDescent="0.25">
      <c r="E57" s="3"/>
      <c r="F57" s="3"/>
      <c r="H57" s="3"/>
    </row>
    <row r="58" spans="5:8" x14ac:dyDescent="0.25">
      <c r="E58" s="3"/>
      <c r="F58" s="3"/>
      <c r="H58" s="3"/>
    </row>
    <row r="59" spans="5:8" x14ac:dyDescent="0.25">
      <c r="E59" s="3"/>
      <c r="F59" s="3"/>
      <c r="H59" s="3"/>
    </row>
    <row r="60" spans="5:8" x14ac:dyDescent="0.25">
      <c r="E60" s="3"/>
      <c r="F60" s="3"/>
      <c r="H60" s="3"/>
    </row>
    <row r="61" spans="5:8" x14ac:dyDescent="0.25">
      <c r="E61" s="3"/>
      <c r="F61" s="3"/>
      <c r="H61" s="3"/>
    </row>
    <row r="62" spans="5:8" x14ac:dyDescent="0.25">
      <c r="E62" s="3"/>
      <c r="F62" s="3"/>
      <c r="H62" s="3"/>
    </row>
    <row r="63" spans="5:8" x14ac:dyDescent="0.25">
      <c r="E63" s="3"/>
      <c r="F63" s="3"/>
      <c r="H63" s="3"/>
    </row>
    <row r="64" spans="5:8" x14ac:dyDescent="0.25">
      <c r="E64" s="3"/>
      <c r="F64" s="3"/>
      <c r="H64" s="3"/>
    </row>
    <row r="65" spans="2:8" x14ac:dyDescent="0.25">
      <c r="E65" s="3"/>
      <c r="F65" s="3"/>
      <c r="H65" s="3"/>
    </row>
    <row r="66" spans="2:8" x14ac:dyDescent="0.25">
      <c r="E66" s="3"/>
      <c r="F66" s="3"/>
      <c r="H66" s="3"/>
    </row>
    <row r="67" spans="2:8" x14ac:dyDescent="0.25">
      <c r="E67" s="3"/>
      <c r="F67" s="3"/>
      <c r="H67" s="3"/>
    </row>
    <row r="68" spans="2:8" x14ac:dyDescent="0.25">
      <c r="E68" s="3"/>
      <c r="F68" s="3"/>
      <c r="H68" s="3"/>
    </row>
    <row r="69" spans="2:8" x14ac:dyDescent="0.25">
      <c r="E69" s="3"/>
      <c r="F69" s="3"/>
      <c r="H69" s="3"/>
    </row>
    <row r="70" spans="2:8" x14ac:dyDescent="0.25">
      <c r="E70" s="3"/>
      <c r="F70" s="3"/>
      <c r="H70" s="3"/>
    </row>
    <row r="71" spans="2:8" x14ac:dyDescent="0.25">
      <c r="E71" s="3"/>
      <c r="F71" s="3"/>
      <c r="H71" s="3"/>
    </row>
    <row r="72" spans="2:8" x14ac:dyDescent="0.25">
      <c r="E72" s="3"/>
      <c r="F72" s="3"/>
      <c r="H72" s="3"/>
    </row>
    <row r="73" spans="2:8" x14ac:dyDescent="0.25">
      <c r="E73" s="3"/>
      <c r="F73" s="3"/>
      <c r="H73" s="3"/>
    </row>
    <row r="74" spans="2:8" x14ac:dyDescent="0.25">
      <c r="E74" s="3"/>
      <c r="F74" s="3"/>
      <c r="H74" s="3"/>
    </row>
    <row r="75" spans="2:8" x14ac:dyDescent="0.25">
      <c r="E75" s="3"/>
      <c r="F75" s="3"/>
      <c r="H75" s="3"/>
    </row>
    <row r="76" spans="2:8" x14ac:dyDescent="0.25">
      <c r="E76" s="3"/>
      <c r="F76" s="3"/>
      <c r="H76" s="3"/>
    </row>
    <row r="77" spans="2:8" x14ac:dyDescent="0.25">
      <c r="E77" s="3"/>
      <c r="F77" s="3"/>
      <c r="H77" s="3"/>
    </row>
    <row r="78" spans="2:8" x14ac:dyDescent="0.25">
      <c r="E78" s="3"/>
      <c r="F78" s="3"/>
      <c r="H78" s="3"/>
    </row>
    <row r="79" spans="2:8" x14ac:dyDescent="0.25">
      <c r="E79" s="3"/>
      <c r="F79" s="3"/>
      <c r="H79" s="3"/>
    </row>
    <row r="80" spans="2:8" x14ac:dyDescent="0.25">
      <c r="B80" s="4"/>
      <c r="E80" s="3"/>
      <c r="F80" s="3"/>
      <c r="H80" s="3"/>
    </row>
    <row r="81" spans="5:8" x14ac:dyDescent="0.25">
      <c r="E81" s="3"/>
      <c r="F81" s="3"/>
      <c r="H81" s="3"/>
    </row>
    <row r="82" spans="5:8" x14ac:dyDescent="0.25">
      <c r="E82" s="3"/>
      <c r="F82" s="3"/>
      <c r="H82" s="3"/>
    </row>
    <row r="83" spans="5:8" x14ac:dyDescent="0.25">
      <c r="E83" s="3"/>
      <c r="F83" s="3"/>
      <c r="H83" s="3"/>
    </row>
    <row r="84" spans="5:8" x14ac:dyDescent="0.25">
      <c r="E84" s="3"/>
      <c r="F84" s="3"/>
      <c r="H84" s="3"/>
    </row>
    <row r="85" spans="5:8" x14ac:dyDescent="0.25">
      <c r="E85" s="3"/>
      <c r="F85" s="3"/>
      <c r="H85" s="3"/>
    </row>
    <row r="86" spans="5:8" x14ac:dyDescent="0.25">
      <c r="E86" s="3"/>
      <c r="F86" s="3"/>
      <c r="H86" s="3"/>
    </row>
    <row r="87" spans="5:8" x14ac:dyDescent="0.25">
      <c r="E87" s="3"/>
      <c r="F87" s="3"/>
      <c r="H87" s="3"/>
    </row>
    <row r="88" spans="5:8" x14ac:dyDescent="0.25">
      <c r="E88" s="3"/>
      <c r="F88" s="3"/>
      <c r="H88" s="3"/>
    </row>
    <row r="89" spans="5:8" x14ac:dyDescent="0.25">
      <c r="E89" s="3"/>
      <c r="F89" s="3"/>
      <c r="H89" s="3"/>
    </row>
    <row r="90" spans="5:8" x14ac:dyDescent="0.25">
      <c r="E90" s="3"/>
      <c r="F90" s="3"/>
      <c r="H90" s="3"/>
    </row>
    <row r="91" spans="5:8" x14ac:dyDescent="0.25">
      <c r="E91" s="3"/>
      <c r="F91" s="3"/>
      <c r="H91" s="3"/>
    </row>
    <row r="92" spans="5:8" x14ac:dyDescent="0.25">
      <c r="E92" s="3"/>
      <c r="F92" s="3"/>
      <c r="H92" s="3"/>
    </row>
    <row r="93" spans="5:8" x14ac:dyDescent="0.25">
      <c r="E93" s="3"/>
      <c r="F93" s="3"/>
      <c r="H93" s="3"/>
    </row>
    <row r="94" spans="5:8" x14ac:dyDescent="0.25">
      <c r="E94" s="3"/>
      <c r="F94" s="3"/>
      <c r="H94" s="3"/>
    </row>
    <row r="95" spans="5:8" x14ac:dyDescent="0.25">
      <c r="E95" s="3"/>
      <c r="F95" s="3"/>
      <c r="H95" s="3"/>
    </row>
    <row r="96" spans="5:8" x14ac:dyDescent="0.25">
      <c r="E96" s="3"/>
      <c r="F96" s="3"/>
      <c r="H96" s="3"/>
    </row>
    <row r="97" spans="5:8" x14ac:dyDescent="0.25">
      <c r="E97" s="3"/>
      <c r="F97" s="3"/>
      <c r="H97" s="3"/>
    </row>
    <row r="98" spans="5:8" x14ac:dyDescent="0.25">
      <c r="E98" s="3"/>
      <c r="F98" s="3"/>
      <c r="H98" s="3"/>
    </row>
    <row r="99" spans="5:8" x14ac:dyDescent="0.25">
      <c r="E99" s="3"/>
      <c r="F99" s="3"/>
      <c r="H99" s="3"/>
    </row>
    <row r="100" spans="5:8" x14ac:dyDescent="0.25">
      <c r="E100" s="3"/>
      <c r="F100" s="3"/>
      <c r="H100" s="3"/>
    </row>
    <row r="101" spans="5:8" x14ac:dyDescent="0.25">
      <c r="E101" s="3"/>
      <c r="F101" s="3"/>
      <c r="H101" s="3"/>
    </row>
    <row r="102" spans="5:8" x14ac:dyDescent="0.25">
      <c r="E102" s="3"/>
      <c r="F102" s="3"/>
      <c r="H102" s="3"/>
    </row>
    <row r="103" spans="5:8" x14ac:dyDescent="0.25">
      <c r="E103" s="3"/>
      <c r="F103" s="3"/>
      <c r="H103" s="3"/>
    </row>
    <row r="104" spans="5:8" x14ac:dyDescent="0.25">
      <c r="E104" s="3"/>
      <c r="F104" s="3"/>
      <c r="H104" s="3"/>
    </row>
    <row r="105" spans="5:8" x14ac:dyDescent="0.25">
      <c r="E105" s="3"/>
      <c r="F105" s="3"/>
      <c r="H105" s="3"/>
    </row>
    <row r="106" spans="5:8" x14ac:dyDescent="0.25">
      <c r="E106" s="3"/>
      <c r="F106" s="3"/>
      <c r="H106" s="3"/>
    </row>
    <row r="107" spans="5:8" x14ac:dyDescent="0.25">
      <c r="E107" s="3"/>
      <c r="F107" s="3"/>
      <c r="H107" s="3"/>
    </row>
    <row r="108" spans="5:8" x14ac:dyDescent="0.25">
      <c r="E108" s="3"/>
      <c r="F108" s="3"/>
      <c r="H108" s="3"/>
    </row>
    <row r="109" spans="5:8" x14ac:dyDescent="0.25">
      <c r="E109" s="3"/>
      <c r="F109" s="3"/>
      <c r="H109" s="3"/>
    </row>
    <row r="110" spans="5:8" x14ac:dyDescent="0.25">
      <c r="E110" s="3"/>
      <c r="F110" s="3"/>
      <c r="H110" s="3"/>
    </row>
    <row r="111" spans="5:8" x14ac:dyDescent="0.25">
      <c r="E111" s="3"/>
      <c r="F111" s="3"/>
      <c r="H111" s="3"/>
    </row>
    <row r="112" spans="5:8" x14ac:dyDescent="0.25">
      <c r="E112" s="3"/>
      <c r="F112" s="3"/>
      <c r="H112" s="3"/>
    </row>
    <row r="113" spans="5:8" x14ac:dyDescent="0.25">
      <c r="E113" s="3"/>
      <c r="F113" s="3"/>
      <c r="H113" s="3"/>
    </row>
    <row r="114" spans="5:8" x14ac:dyDescent="0.25">
      <c r="E114" s="3"/>
      <c r="F114" s="3"/>
      <c r="H114" s="3"/>
    </row>
    <row r="115" spans="5:8" x14ac:dyDescent="0.25">
      <c r="E115" s="3"/>
      <c r="F115" s="3"/>
      <c r="H115" s="3"/>
    </row>
    <row r="116" spans="5:8" x14ac:dyDescent="0.25">
      <c r="E116" s="3"/>
      <c r="F116" s="3"/>
      <c r="H116" s="3"/>
    </row>
    <row r="117" spans="5:8" x14ac:dyDescent="0.25">
      <c r="E117" s="3"/>
      <c r="F117" s="3"/>
      <c r="H117" s="3"/>
    </row>
    <row r="118" spans="5:8" x14ac:dyDescent="0.25">
      <c r="E118" s="3"/>
      <c r="F118" s="3"/>
      <c r="H118" s="3"/>
    </row>
    <row r="119" spans="5:8" x14ac:dyDescent="0.25">
      <c r="E119" s="3"/>
      <c r="F119" s="3"/>
      <c r="H119" s="3"/>
    </row>
    <row r="120" spans="5:8" x14ac:dyDescent="0.25">
      <c r="E120" s="3"/>
      <c r="F120" s="3"/>
      <c r="H120" s="3"/>
    </row>
    <row r="121" spans="5:8" x14ac:dyDescent="0.25">
      <c r="E121" s="3"/>
      <c r="F121" s="3"/>
      <c r="H121" s="3"/>
    </row>
    <row r="122" spans="5:8" x14ac:dyDescent="0.25">
      <c r="E122" s="3"/>
      <c r="F122" s="3"/>
      <c r="H122" s="3"/>
    </row>
    <row r="123" spans="5:8" x14ac:dyDescent="0.25">
      <c r="E123" s="3"/>
      <c r="F123" s="3"/>
      <c r="H123" s="3"/>
    </row>
    <row r="124" spans="5:8" x14ac:dyDescent="0.25">
      <c r="E124" s="3"/>
      <c r="F124" s="3"/>
      <c r="H124" s="3"/>
    </row>
    <row r="125" spans="5:8" x14ac:dyDescent="0.25">
      <c r="E125" s="3"/>
      <c r="F125" s="3"/>
      <c r="H125" s="3"/>
    </row>
    <row r="126" spans="5:8" x14ac:dyDescent="0.25">
      <c r="E126" s="3"/>
      <c r="F126" s="3"/>
      <c r="H126" s="3"/>
    </row>
    <row r="127" spans="5:8" x14ac:dyDescent="0.25">
      <c r="E127" s="3"/>
      <c r="F127" s="3"/>
      <c r="H127" s="3"/>
    </row>
    <row r="128" spans="5:8" x14ac:dyDescent="0.25">
      <c r="E128" s="3"/>
      <c r="F128" s="3"/>
      <c r="H128" s="3"/>
    </row>
    <row r="129" spans="5:8" x14ac:dyDescent="0.25">
      <c r="E129" s="3"/>
      <c r="F129" s="3"/>
      <c r="H129" s="3"/>
    </row>
    <row r="130" spans="5:8" x14ac:dyDescent="0.25">
      <c r="E130" s="3"/>
      <c r="F130" s="3"/>
      <c r="H130" s="3"/>
    </row>
    <row r="131" spans="5:8" x14ac:dyDescent="0.25">
      <c r="E131" s="3"/>
      <c r="F131" s="3"/>
      <c r="H131" s="3"/>
    </row>
    <row r="132" spans="5:8" x14ac:dyDescent="0.25">
      <c r="E132" s="3"/>
      <c r="F132" s="3"/>
      <c r="H132" s="3"/>
    </row>
    <row r="133" spans="5:8" x14ac:dyDescent="0.25">
      <c r="E133" s="3"/>
      <c r="F133" s="3"/>
      <c r="H133" s="3"/>
    </row>
    <row r="134" spans="5:8" x14ac:dyDescent="0.25">
      <c r="E134" s="3"/>
      <c r="F134" s="3"/>
      <c r="H134" s="3"/>
    </row>
    <row r="135" spans="5:8" x14ac:dyDescent="0.25">
      <c r="E135" s="3"/>
      <c r="F135" s="3"/>
      <c r="H135" s="3"/>
    </row>
    <row r="136" spans="5:8" x14ac:dyDescent="0.25">
      <c r="E136" s="3"/>
      <c r="F136" s="3"/>
      <c r="H136" s="3"/>
    </row>
    <row r="137" spans="5:8" x14ac:dyDescent="0.25">
      <c r="E137" s="3"/>
      <c r="F137" s="3"/>
      <c r="H137" s="3"/>
    </row>
    <row r="138" spans="5:8" x14ac:dyDescent="0.25">
      <c r="E138" s="3"/>
      <c r="F138" s="3"/>
      <c r="H138" s="3"/>
    </row>
    <row r="139" spans="5:8" x14ac:dyDescent="0.25">
      <c r="E139" s="3"/>
      <c r="F139" s="3"/>
      <c r="H139" s="3"/>
    </row>
    <row r="140" spans="5:8" x14ac:dyDescent="0.25">
      <c r="E140" s="3"/>
      <c r="F140" s="3"/>
      <c r="H140" s="3"/>
    </row>
    <row r="141" spans="5:8" x14ac:dyDescent="0.25">
      <c r="E141" s="3"/>
      <c r="F141" s="3"/>
      <c r="H141" s="3"/>
    </row>
    <row r="142" spans="5:8" x14ac:dyDescent="0.25">
      <c r="E142" s="3"/>
      <c r="F142" s="3"/>
      <c r="H142" s="3"/>
    </row>
    <row r="143" spans="5:8" x14ac:dyDescent="0.25">
      <c r="E143" s="3"/>
      <c r="F143" s="3"/>
      <c r="H143" s="3"/>
    </row>
    <row r="144" spans="5:8" x14ac:dyDescent="0.25">
      <c r="E144" s="3"/>
      <c r="F144" s="3"/>
      <c r="H144" s="3"/>
    </row>
    <row r="145" spans="5:8" x14ac:dyDescent="0.25">
      <c r="E145" s="3"/>
      <c r="F145" s="3"/>
      <c r="H145" s="3"/>
    </row>
    <row r="146" spans="5:8" x14ac:dyDescent="0.25">
      <c r="E146" s="3"/>
      <c r="F146" s="3"/>
      <c r="H146" s="3"/>
    </row>
    <row r="147" spans="5:8" x14ac:dyDescent="0.25">
      <c r="E147" s="3"/>
      <c r="F147" s="3"/>
      <c r="H147" s="3"/>
    </row>
    <row r="148" spans="5:8" x14ac:dyDescent="0.25">
      <c r="E148" s="3"/>
      <c r="F148" s="3"/>
      <c r="H148" s="3"/>
    </row>
    <row r="149" spans="5:8" x14ac:dyDescent="0.25">
      <c r="E149" s="3"/>
      <c r="F149" s="3"/>
      <c r="H149" s="3"/>
    </row>
    <row r="150" spans="5:8" x14ac:dyDescent="0.25">
      <c r="E150" s="3"/>
      <c r="F150" s="3"/>
      <c r="H150" s="3"/>
    </row>
    <row r="151" spans="5:8" x14ac:dyDescent="0.25">
      <c r="E151" s="3"/>
      <c r="F151" s="3"/>
      <c r="H151" s="3"/>
    </row>
    <row r="152" spans="5:8" x14ac:dyDescent="0.25">
      <c r="E152" s="3"/>
      <c r="F152" s="3"/>
      <c r="H152" s="3"/>
    </row>
    <row r="153" spans="5:8" x14ac:dyDescent="0.25">
      <c r="E153" s="3"/>
      <c r="F153" s="3"/>
      <c r="H153" s="3"/>
    </row>
    <row r="154" spans="5:8" x14ac:dyDescent="0.25">
      <c r="E154" s="3"/>
      <c r="F154" s="3"/>
      <c r="H154" s="3"/>
    </row>
    <row r="155" spans="5:8" x14ac:dyDescent="0.25">
      <c r="E155" s="3"/>
      <c r="F155" s="3"/>
      <c r="H155" s="3"/>
    </row>
    <row r="156" spans="5:8" x14ac:dyDescent="0.25">
      <c r="E156" s="3"/>
      <c r="F156" s="3"/>
      <c r="H156" s="3"/>
    </row>
    <row r="157" spans="5:8" x14ac:dyDescent="0.25">
      <c r="E157" s="3"/>
      <c r="F157" s="3"/>
      <c r="H157" s="3"/>
    </row>
    <row r="158" spans="5:8" x14ac:dyDescent="0.25">
      <c r="E158" s="3"/>
      <c r="F158" s="3"/>
      <c r="H158" s="3"/>
    </row>
    <row r="159" spans="5:8" x14ac:dyDescent="0.25">
      <c r="E159" s="3"/>
      <c r="F159" s="3"/>
      <c r="H159" s="3"/>
    </row>
    <row r="160" spans="5:8" x14ac:dyDescent="0.25">
      <c r="E160" s="3"/>
      <c r="F160" s="3"/>
      <c r="H160" s="3"/>
    </row>
    <row r="161" spans="5:8" x14ac:dyDescent="0.25">
      <c r="E161" s="3"/>
      <c r="F161" s="3"/>
      <c r="H161" s="3"/>
    </row>
    <row r="162" spans="5:8" x14ac:dyDescent="0.25">
      <c r="E162" s="3"/>
      <c r="F162" s="3"/>
      <c r="H162" s="3"/>
    </row>
    <row r="163" spans="5:8" x14ac:dyDescent="0.25">
      <c r="E163" s="3"/>
      <c r="F163" s="3"/>
      <c r="H163" s="3"/>
    </row>
    <row r="164" spans="5:8" x14ac:dyDescent="0.25">
      <c r="E164" s="3"/>
      <c r="F164" s="3"/>
      <c r="H164" s="3"/>
    </row>
    <row r="165" spans="5:8" x14ac:dyDescent="0.25">
      <c r="E165" s="3"/>
      <c r="F165" s="3"/>
      <c r="H165" s="3"/>
    </row>
    <row r="166" spans="5:8" x14ac:dyDescent="0.25">
      <c r="E166" s="3"/>
      <c r="F166" s="3"/>
      <c r="H166" s="3"/>
    </row>
    <row r="167" spans="5:8" x14ac:dyDescent="0.25">
      <c r="E167" s="3"/>
      <c r="F167" s="3"/>
      <c r="H167" s="3"/>
    </row>
    <row r="168" spans="5:8" x14ac:dyDescent="0.25">
      <c r="E168" s="3"/>
      <c r="F168" s="3"/>
      <c r="H168" s="3"/>
    </row>
    <row r="169" spans="5:8" x14ac:dyDescent="0.25">
      <c r="E169" s="3"/>
      <c r="F169" s="3"/>
      <c r="H169" s="3"/>
    </row>
    <row r="170" spans="5:8" x14ac:dyDescent="0.25">
      <c r="E170" s="3"/>
      <c r="F170" s="3"/>
      <c r="H170" s="3"/>
    </row>
    <row r="171" spans="5:8" x14ac:dyDescent="0.25">
      <c r="E171" s="3"/>
      <c r="F171" s="3"/>
      <c r="H171" s="3"/>
    </row>
    <row r="172" spans="5:8" x14ac:dyDescent="0.25">
      <c r="E172" s="3"/>
      <c r="F172" s="3"/>
      <c r="H172" s="3"/>
    </row>
    <row r="173" spans="5:8" x14ac:dyDescent="0.25">
      <c r="E173" s="3"/>
      <c r="F173" s="3"/>
      <c r="H173" s="3"/>
    </row>
    <row r="174" spans="5:8" x14ac:dyDescent="0.25">
      <c r="E174" s="3"/>
      <c r="F174" s="3"/>
      <c r="H174" s="3"/>
    </row>
    <row r="175" spans="5:8" x14ac:dyDescent="0.25">
      <c r="E175" s="3"/>
      <c r="F175" s="3"/>
      <c r="H175" s="3"/>
    </row>
    <row r="176" spans="5:8" x14ac:dyDescent="0.25">
      <c r="E176" s="3"/>
      <c r="F176" s="3"/>
      <c r="H176" s="3"/>
    </row>
    <row r="177" spans="5:8" x14ac:dyDescent="0.25">
      <c r="E177" s="3"/>
      <c r="F177" s="3"/>
      <c r="H177" s="3"/>
    </row>
    <row r="178" spans="5:8" x14ac:dyDescent="0.25">
      <c r="E178" s="3"/>
      <c r="F178" s="3"/>
      <c r="H178" s="3"/>
    </row>
    <row r="179" spans="5:8" x14ac:dyDescent="0.25">
      <c r="E179" s="3"/>
      <c r="F179" s="3"/>
      <c r="H179" s="3"/>
    </row>
    <row r="180" spans="5:8" x14ac:dyDescent="0.25">
      <c r="E180" s="3"/>
      <c r="F180" s="3"/>
      <c r="H180" s="3"/>
    </row>
    <row r="181" spans="5:8" x14ac:dyDescent="0.25">
      <c r="E181" s="3"/>
      <c r="F181" s="3"/>
      <c r="H181" s="3"/>
    </row>
    <row r="182" spans="5:8" x14ac:dyDescent="0.25">
      <c r="E182" s="3"/>
      <c r="F182" s="3"/>
      <c r="H182" s="3"/>
    </row>
    <row r="183" spans="5:8" x14ac:dyDescent="0.25">
      <c r="E183" s="3"/>
      <c r="F183" s="3"/>
      <c r="H183" s="3"/>
    </row>
    <row r="184" spans="5:8" x14ac:dyDescent="0.25">
      <c r="E184" s="3"/>
      <c r="F184" s="3"/>
      <c r="H184" s="3"/>
    </row>
    <row r="185" spans="5:8" x14ac:dyDescent="0.25">
      <c r="E185" s="3"/>
      <c r="F185" s="3"/>
      <c r="H185" s="3"/>
    </row>
    <row r="186" spans="5:8" x14ac:dyDescent="0.25">
      <c r="E186" s="3"/>
      <c r="F186" s="3"/>
      <c r="H186" s="3"/>
    </row>
    <row r="187" spans="5:8" x14ac:dyDescent="0.25">
      <c r="E187" s="3"/>
      <c r="F187" s="3"/>
      <c r="H187" s="3"/>
    </row>
    <row r="188" spans="5:8" x14ac:dyDescent="0.25">
      <c r="E188" s="3"/>
      <c r="F188" s="3"/>
      <c r="H188" s="3"/>
    </row>
    <row r="189" spans="5:8" x14ac:dyDescent="0.25">
      <c r="E189" s="3"/>
      <c r="F189" s="3"/>
      <c r="H189" s="3"/>
    </row>
    <row r="190" spans="5:8" x14ac:dyDescent="0.25">
      <c r="E190" s="3"/>
      <c r="F190" s="3"/>
      <c r="H190" s="3"/>
    </row>
    <row r="191" spans="5:8" x14ac:dyDescent="0.25">
      <c r="E191" s="3"/>
      <c r="F191" s="3"/>
      <c r="H191" s="3"/>
    </row>
    <row r="192" spans="5:8" x14ac:dyDescent="0.25">
      <c r="E192" s="3"/>
      <c r="F192" s="3"/>
      <c r="H192" s="3"/>
    </row>
    <row r="193" spans="2:8" x14ac:dyDescent="0.25">
      <c r="E193" s="3"/>
      <c r="F193" s="3"/>
      <c r="H193" s="3"/>
    </row>
    <row r="194" spans="2:8" x14ac:dyDescent="0.25">
      <c r="E194" s="3"/>
      <c r="F194" s="3"/>
      <c r="H194" s="3"/>
    </row>
    <row r="195" spans="2:8" x14ac:dyDescent="0.25">
      <c r="E195" s="3"/>
      <c r="F195" s="3"/>
      <c r="H195" s="3"/>
    </row>
    <row r="196" spans="2:8" x14ac:dyDescent="0.25">
      <c r="E196" s="3"/>
      <c r="F196" s="3"/>
      <c r="H196" s="3"/>
    </row>
    <row r="197" spans="2:8" x14ac:dyDescent="0.25">
      <c r="E197" s="3"/>
      <c r="F197" s="3"/>
      <c r="H197" s="3"/>
    </row>
    <row r="198" spans="2:8" x14ac:dyDescent="0.25">
      <c r="E198" s="3"/>
      <c r="F198" s="3"/>
      <c r="H198" s="3"/>
    </row>
    <row r="199" spans="2:8" x14ac:dyDescent="0.25">
      <c r="E199" s="3"/>
      <c r="F199" s="3"/>
      <c r="H199" s="3"/>
    </row>
    <row r="200" spans="2:8" x14ac:dyDescent="0.25">
      <c r="E200" s="3"/>
      <c r="F200" s="3"/>
      <c r="H200" s="3"/>
    </row>
    <row r="201" spans="2:8" x14ac:dyDescent="0.25">
      <c r="B201" s="2"/>
      <c r="E201" s="3"/>
      <c r="F201" s="3"/>
      <c r="H201" s="3"/>
    </row>
    <row r="202" spans="2:8" x14ac:dyDescent="0.25">
      <c r="E202" s="3"/>
      <c r="F202" s="3"/>
      <c r="H202" s="3"/>
    </row>
    <row r="203" spans="2:8" x14ac:dyDescent="0.25">
      <c r="E203" s="3"/>
      <c r="F203" s="3"/>
      <c r="H203" s="3"/>
    </row>
    <row r="204" spans="2:8" x14ac:dyDescent="0.25">
      <c r="E204" s="3"/>
      <c r="F204" s="3"/>
      <c r="H204" s="3"/>
    </row>
    <row r="205" spans="2:8" x14ac:dyDescent="0.25">
      <c r="E205" s="3"/>
      <c r="F205" s="3"/>
      <c r="H205" s="3"/>
    </row>
    <row r="206" spans="2:8" x14ac:dyDescent="0.25">
      <c r="E206" s="3"/>
      <c r="F206" s="3"/>
      <c r="H206" s="3"/>
    </row>
    <row r="207" spans="2:8" x14ac:dyDescent="0.25">
      <c r="E207" s="3"/>
      <c r="F207" s="3"/>
      <c r="H207" s="3"/>
    </row>
    <row r="208" spans="2:8" x14ac:dyDescent="0.25">
      <c r="E208" s="3"/>
      <c r="F208" s="3"/>
      <c r="H208" s="3"/>
    </row>
    <row r="209" spans="5:8" x14ac:dyDescent="0.25">
      <c r="E209" s="3"/>
      <c r="F209" s="3"/>
      <c r="H209" s="3"/>
    </row>
    <row r="210" spans="5:8" x14ac:dyDescent="0.25">
      <c r="E210" s="3"/>
      <c r="F210" s="3"/>
      <c r="H210" s="3"/>
    </row>
    <row r="211" spans="5:8" x14ac:dyDescent="0.25">
      <c r="E211" s="3"/>
      <c r="F211" s="3"/>
      <c r="H211" s="3"/>
    </row>
    <row r="212" spans="5:8" x14ac:dyDescent="0.25">
      <c r="E212" s="3"/>
      <c r="F212" s="3"/>
      <c r="H212" s="3"/>
    </row>
    <row r="213" spans="5:8" x14ac:dyDescent="0.25">
      <c r="E213" s="3"/>
      <c r="F213" s="3"/>
      <c r="H213" s="3"/>
    </row>
    <row r="214" spans="5:8" x14ac:dyDescent="0.25">
      <c r="E214" s="3"/>
      <c r="F214" s="3"/>
      <c r="H214" s="3"/>
    </row>
    <row r="215" spans="5:8" x14ac:dyDescent="0.25">
      <c r="E215" s="3"/>
      <c r="F215" s="3"/>
      <c r="H215" s="3"/>
    </row>
    <row r="216" spans="5:8" x14ac:dyDescent="0.25">
      <c r="E216" s="3"/>
      <c r="F216" s="3"/>
      <c r="H216" s="3"/>
    </row>
    <row r="217" spans="5:8" x14ac:dyDescent="0.25">
      <c r="E217" s="3"/>
      <c r="F217" s="3"/>
      <c r="H217" s="3"/>
    </row>
    <row r="218" spans="5:8" x14ac:dyDescent="0.25">
      <c r="E218" s="3"/>
      <c r="F218" s="3"/>
      <c r="H218" s="3"/>
    </row>
    <row r="219" spans="5:8" x14ac:dyDescent="0.25">
      <c r="E219" s="3"/>
      <c r="F219" s="3"/>
      <c r="H219" s="3"/>
    </row>
    <row r="220" spans="5:8" x14ac:dyDescent="0.25">
      <c r="E220" s="3"/>
      <c r="F220" s="3"/>
      <c r="H220" s="3"/>
    </row>
    <row r="221" spans="5:8" x14ac:dyDescent="0.25">
      <c r="E221" s="3"/>
      <c r="F221" s="3"/>
      <c r="H221" s="3"/>
    </row>
    <row r="222" spans="5:8" x14ac:dyDescent="0.25">
      <c r="E222" s="3"/>
      <c r="F222" s="3"/>
      <c r="H222" s="3"/>
    </row>
    <row r="223" spans="5:8" x14ac:dyDescent="0.25">
      <c r="E223" s="3"/>
      <c r="F223" s="3"/>
      <c r="H223" s="3"/>
    </row>
    <row r="224" spans="5:8" x14ac:dyDescent="0.25">
      <c r="E224" s="3"/>
      <c r="F224" s="3"/>
      <c r="H224" s="3"/>
    </row>
    <row r="225" spans="5:8" x14ac:dyDescent="0.25">
      <c r="E225" s="3"/>
      <c r="F225" s="3"/>
      <c r="H225" s="3"/>
    </row>
    <row r="226" spans="5:8" x14ac:dyDescent="0.25">
      <c r="E226" s="3"/>
      <c r="F226" s="3"/>
      <c r="H226" s="3"/>
    </row>
    <row r="227" spans="5:8" x14ac:dyDescent="0.25">
      <c r="E227" s="3"/>
      <c r="F227" s="3"/>
      <c r="H227" s="3"/>
    </row>
    <row r="228" spans="5:8" x14ac:dyDescent="0.25">
      <c r="E228" s="3"/>
      <c r="F228" s="3"/>
      <c r="H228" s="3"/>
    </row>
    <row r="229" spans="5:8" x14ac:dyDescent="0.25">
      <c r="E229" s="3"/>
      <c r="F229" s="3"/>
      <c r="H229" s="3"/>
    </row>
    <row r="230" spans="5:8" x14ac:dyDescent="0.25">
      <c r="E230" s="3"/>
      <c r="F230" s="3"/>
      <c r="H230" s="3"/>
    </row>
    <row r="231" spans="5:8" x14ac:dyDescent="0.25">
      <c r="E231" s="3"/>
      <c r="F231" s="3"/>
      <c r="H231" s="3"/>
    </row>
    <row r="232" spans="5:8" x14ac:dyDescent="0.25">
      <c r="E232" s="3"/>
      <c r="F232" s="3"/>
      <c r="H232" s="3"/>
    </row>
    <row r="233" spans="5:8" x14ac:dyDescent="0.25">
      <c r="E233" s="3"/>
      <c r="F233" s="3"/>
      <c r="H233" s="3"/>
    </row>
    <row r="234" spans="5:8" x14ac:dyDescent="0.25">
      <c r="E234" s="3"/>
      <c r="F234" s="3"/>
      <c r="H234" s="3"/>
    </row>
    <row r="235" spans="5:8" x14ac:dyDescent="0.25">
      <c r="E235" s="3"/>
      <c r="F235" s="3"/>
      <c r="H235" s="3"/>
    </row>
    <row r="236" spans="5:8" x14ac:dyDescent="0.25">
      <c r="E236" s="3"/>
      <c r="F236" s="3"/>
      <c r="H236" s="3"/>
    </row>
    <row r="237" spans="5:8" x14ac:dyDescent="0.25">
      <c r="E237" s="3"/>
      <c r="F237" s="3"/>
      <c r="H237" s="3"/>
    </row>
    <row r="238" spans="5:8" x14ac:dyDescent="0.25">
      <c r="E238" s="3"/>
      <c r="F238" s="3"/>
      <c r="H238" s="3"/>
    </row>
    <row r="239" spans="5:8" x14ac:dyDescent="0.25">
      <c r="E239" s="3"/>
      <c r="F239" s="3"/>
      <c r="H239" s="3"/>
    </row>
    <row r="240" spans="5:8" x14ac:dyDescent="0.25">
      <c r="E240" s="3"/>
      <c r="F240" s="3"/>
      <c r="H240" s="3"/>
    </row>
    <row r="241" spans="5:8" x14ac:dyDescent="0.25">
      <c r="E241" s="3"/>
      <c r="F241" s="3"/>
      <c r="H241" s="3"/>
    </row>
    <row r="242" spans="5:8" x14ac:dyDescent="0.25">
      <c r="E242" s="3"/>
      <c r="F242" s="3"/>
      <c r="H242" s="3"/>
    </row>
    <row r="243" spans="5:8" x14ac:dyDescent="0.25">
      <c r="E243" s="3"/>
      <c r="F243" s="3"/>
      <c r="H243" s="3"/>
    </row>
    <row r="244" spans="5:8" x14ac:dyDescent="0.25">
      <c r="E244" s="3"/>
      <c r="F244" s="3"/>
      <c r="H244" s="3"/>
    </row>
    <row r="245" spans="5:8" x14ac:dyDescent="0.25">
      <c r="E245" s="3"/>
      <c r="F245" s="3"/>
      <c r="H245" s="3"/>
    </row>
    <row r="246" spans="5:8" x14ac:dyDescent="0.25">
      <c r="E246" s="3"/>
      <c r="F246" s="3"/>
      <c r="H246" s="3"/>
    </row>
    <row r="247" spans="5:8" x14ac:dyDescent="0.25">
      <c r="E247" s="3"/>
      <c r="F247" s="3"/>
      <c r="H247" s="3"/>
    </row>
    <row r="248" spans="5:8" x14ac:dyDescent="0.25">
      <c r="E248" s="3"/>
      <c r="F248" s="3"/>
      <c r="H248" s="3"/>
    </row>
    <row r="249" spans="5:8" x14ac:dyDescent="0.25">
      <c r="E249" s="3"/>
      <c r="F249" s="3"/>
      <c r="H249" s="3"/>
    </row>
    <row r="250" spans="5:8" x14ac:dyDescent="0.25">
      <c r="E250" s="3"/>
      <c r="F250" s="3"/>
      <c r="H250" s="3"/>
    </row>
    <row r="251" spans="5:8" x14ac:dyDescent="0.25">
      <c r="E251" s="3"/>
      <c r="F251" s="3"/>
      <c r="H251" s="3"/>
    </row>
    <row r="252" spans="5:8" x14ac:dyDescent="0.25">
      <c r="E252" s="3"/>
      <c r="F252" s="3"/>
      <c r="H252" s="3"/>
    </row>
    <row r="253" spans="5:8" x14ac:dyDescent="0.25">
      <c r="E253" s="3"/>
      <c r="F253" s="3"/>
      <c r="H253" s="3"/>
    </row>
    <row r="254" spans="5:8" x14ac:dyDescent="0.25">
      <c r="E254" s="3"/>
      <c r="F254" s="3"/>
      <c r="H254" s="3"/>
    </row>
    <row r="255" spans="5:8" x14ac:dyDescent="0.25">
      <c r="E255" s="3"/>
      <c r="F255" s="3"/>
      <c r="H255" s="3"/>
    </row>
    <row r="256" spans="5:8" x14ac:dyDescent="0.25">
      <c r="E256" s="3"/>
      <c r="F256" s="3"/>
      <c r="H256" s="3"/>
    </row>
    <row r="257" spans="5:8" x14ac:dyDescent="0.25">
      <c r="E257" s="3"/>
      <c r="F257" s="3"/>
      <c r="H257" s="3"/>
    </row>
    <row r="258" spans="5:8" x14ac:dyDescent="0.25">
      <c r="E258" s="3"/>
      <c r="F258" s="3"/>
      <c r="H258" s="3"/>
    </row>
    <row r="259" spans="5:8" x14ac:dyDescent="0.25">
      <c r="E259" s="3"/>
      <c r="F259" s="3"/>
      <c r="H259" s="3"/>
    </row>
    <row r="260" spans="5:8" x14ac:dyDescent="0.25">
      <c r="E260" s="3"/>
      <c r="F260" s="3"/>
      <c r="H260" s="3"/>
    </row>
    <row r="261" spans="5:8" x14ac:dyDescent="0.25">
      <c r="E261" s="3"/>
      <c r="F261" s="3"/>
      <c r="H261" s="3"/>
    </row>
    <row r="262" spans="5:8" x14ac:dyDescent="0.25">
      <c r="E262" s="3"/>
      <c r="F262" s="3"/>
      <c r="H262" s="3"/>
    </row>
    <row r="263" spans="5:8" x14ac:dyDescent="0.25">
      <c r="E263" s="3"/>
      <c r="F263" s="3"/>
      <c r="H263" s="3"/>
    </row>
    <row r="264" spans="5:8" x14ac:dyDescent="0.25">
      <c r="E264" s="3"/>
      <c r="F264" s="3"/>
      <c r="H264" s="3"/>
    </row>
    <row r="265" spans="5:8" x14ac:dyDescent="0.25">
      <c r="E265" s="3"/>
      <c r="F265" s="3"/>
      <c r="H265" s="3"/>
    </row>
    <row r="266" spans="5:8" x14ac:dyDescent="0.25">
      <c r="E266" s="3"/>
      <c r="F266" s="3"/>
      <c r="H266" s="3"/>
    </row>
    <row r="267" spans="5:8" x14ac:dyDescent="0.25">
      <c r="E267" s="3"/>
      <c r="F267" s="3"/>
      <c r="H267" s="3"/>
    </row>
    <row r="268" spans="5:8" x14ac:dyDescent="0.25">
      <c r="E268" s="3"/>
      <c r="F268" s="3"/>
      <c r="H268" s="3"/>
    </row>
    <row r="269" spans="5:8" x14ac:dyDescent="0.25">
      <c r="E269" s="3"/>
      <c r="F269" s="3"/>
      <c r="H269" s="3"/>
    </row>
    <row r="270" spans="5:8" x14ac:dyDescent="0.25">
      <c r="E270" s="3"/>
      <c r="F270" s="3"/>
      <c r="H270" s="3"/>
    </row>
    <row r="271" spans="5:8" x14ac:dyDescent="0.25">
      <c r="E271" s="3"/>
      <c r="F271" s="3"/>
      <c r="H271" s="3"/>
    </row>
    <row r="272" spans="5:8" x14ac:dyDescent="0.25">
      <c r="E272" s="3"/>
      <c r="F272" s="3"/>
      <c r="H272" s="3"/>
    </row>
    <row r="273" spans="5:8" x14ac:dyDescent="0.25">
      <c r="E273" s="3"/>
      <c r="F273" s="3"/>
      <c r="H273" s="3"/>
    </row>
    <row r="274" spans="5:8" x14ac:dyDescent="0.25">
      <c r="E274" s="3"/>
      <c r="F274" s="3"/>
      <c r="H274" s="3"/>
    </row>
    <row r="275" spans="5:8" x14ac:dyDescent="0.25">
      <c r="E275" s="3"/>
      <c r="F275" s="3"/>
      <c r="H275" s="3"/>
    </row>
    <row r="276" spans="5:8" x14ac:dyDescent="0.25">
      <c r="E276" s="3"/>
      <c r="F276" s="3"/>
      <c r="H276" s="3"/>
    </row>
    <row r="277" spans="5:8" x14ac:dyDescent="0.25">
      <c r="E277" s="3"/>
      <c r="F277" s="3"/>
      <c r="H277" s="3"/>
    </row>
    <row r="278" spans="5:8" x14ac:dyDescent="0.25">
      <c r="E278" s="3"/>
      <c r="F278" s="3"/>
      <c r="H278" s="3"/>
    </row>
    <row r="279" spans="5:8" x14ac:dyDescent="0.25">
      <c r="E279" s="3"/>
      <c r="F279" s="3"/>
      <c r="H279" s="3"/>
    </row>
    <row r="280" spans="5:8" x14ac:dyDescent="0.25">
      <c r="E280" s="3"/>
      <c r="F280" s="3"/>
      <c r="H280" s="3"/>
    </row>
    <row r="281" spans="5:8" x14ac:dyDescent="0.25">
      <c r="E281" s="3"/>
      <c r="F281" s="3"/>
      <c r="H281" s="3"/>
    </row>
    <row r="282" spans="5:8" x14ac:dyDescent="0.25">
      <c r="E282" s="3"/>
      <c r="F282" s="3"/>
      <c r="H282" s="3"/>
    </row>
    <row r="283" spans="5:8" x14ac:dyDescent="0.25">
      <c r="E283" s="3"/>
      <c r="F283" s="3"/>
      <c r="H283" s="3"/>
    </row>
    <row r="284" spans="5:8" x14ac:dyDescent="0.25">
      <c r="E284" s="3"/>
      <c r="F284" s="3"/>
      <c r="H284" s="3"/>
    </row>
    <row r="285" spans="5:8" x14ac:dyDescent="0.25">
      <c r="E285" s="3"/>
      <c r="F285" s="3"/>
      <c r="H285" s="3"/>
    </row>
    <row r="286" spans="5:8" x14ac:dyDescent="0.25">
      <c r="E286" s="3"/>
      <c r="F286" s="3"/>
      <c r="H286" s="3"/>
    </row>
    <row r="287" spans="5:8" x14ac:dyDescent="0.25">
      <c r="E287" s="3"/>
      <c r="F287" s="3"/>
      <c r="H287" s="3"/>
    </row>
    <row r="288" spans="5:8" x14ac:dyDescent="0.25">
      <c r="E288" s="3"/>
      <c r="F288" s="3"/>
      <c r="H288" s="3"/>
    </row>
    <row r="289" spans="5:8" x14ac:dyDescent="0.25">
      <c r="E289" s="3"/>
      <c r="F289" s="3"/>
      <c r="H289" s="3"/>
    </row>
    <row r="290" spans="5:8" x14ac:dyDescent="0.25">
      <c r="E290" s="3"/>
      <c r="F290" s="3"/>
      <c r="H290" s="3"/>
    </row>
    <row r="291" spans="5:8" x14ac:dyDescent="0.25">
      <c r="E291" s="3"/>
      <c r="F291" s="3"/>
      <c r="H291" s="3"/>
    </row>
    <row r="292" spans="5:8" x14ac:dyDescent="0.25">
      <c r="E292" s="3"/>
      <c r="F292" s="3"/>
      <c r="H292" s="3"/>
    </row>
    <row r="293" spans="5:8" x14ac:dyDescent="0.25">
      <c r="E293" s="3"/>
      <c r="F293" s="3"/>
      <c r="H293" s="3"/>
    </row>
    <row r="294" spans="5:8" x14ac:dyDescent="0.25">
      <c r="E294" s="3"/>
      <c r="F294" s="3"/>
      <c r="H294" s="3"/>
    </row>
    <row r="295" spans="5:8" x14ac:dyDescent="0.25">
      <c r="E295" s="3"/>
      <c r="F295" s="3"/>
      <c r="H295" s="3"/>
    </row>
    <row r="296" spans="5:8" x14ac:dyDescent="0.25">
      <c r="E296" s="3"/>
      <c r="F296" s="3"/>
      <c r="H296" s="3"/>
    </row>
    <row r="297" spans="5:8" x14ac:dyDescent="0.25">
      <c r="E297" s="3"/>
      <c r="F297" s="3"/>
      <c r="H297" s="3"/>
    </row>
    <row r="298" spans="5:8" x14ac:dyDescent="0.25">
      <c r="E298" s="3"/>
      <c r="F298" s="3"/>
      <c r="H298" s="3"/>
    </row>
    <row r="299" spans="5:8" x14ac:dyDescent="0.25">
      <c r="E299" s="3"/>
      <c r="F299" s="3"/>
      <c r="H299" s="3"/>
    </row>
    <row r="300" spans="5:8" x14ac:dyDescent="0.25">
      <c r="E300" s="3"/>
      <c r="F300" s="3"/>
      <c r="H300" s="3"/>
    </row>
    <row r="301" spans="5:8" x14ac:dyDescent="0.25">
      <c r="E301" s="3"/>
      <c r="F301" s="3"/>
      <c r="H301" s="3"/>
    </row>
    <row r="302" spans="5:8" x14ac:dyDescent="0.25">
      <c r="E302" s="3"/>
      <c r="F302" s="3"/>
      <c r="H302" s="3"/>
    </row>
    <row r="303" spans="5:8" x14ac:dyDescent="0.25">
      <c r="E303" s="3"/>
      <c r="F303" s="3"/>
      <c r="H303" s="3"/>
    </row>
    <row r="304" spans="5:8" x14ac:dyDescent="0.25">
      <c r="E304" s="3"/>
      <c r="F304" s="3"/>
      <c r="H304" s="3"/>
    </row>
    <row r="305" spans="5:8" x14ac:dyDescent="0.25">
      <c r="E305" s="3"/>
      <c r="F305" s="3"/>
      <c r="H305" s="3"/>
    </row>
    <row r="306" spans="5:8" x14ac:dyDescent="0.25">
      <c r="E306" s="3"/>
      <c r="F306" s="3"/>
      <c r="H306" s="3"/>
    </row>
    <row r="307" spans="5:8" x14ac:dyDescent="0.25">
      <c r="E307" s="3"/>
      <c r="F307" s="3"/>
      <c r="H307" s="3"/>
    </row>
    <row r="308" spans="5:8" x14ac:dyDescent="0.25">
      <c r="E308" s="3"/>
      <c r="F308" s="3"/>
      <c r="H308" s="3"/>
    </row>
    <row r="309" spans="5:8" x14ac:dyDescent="0.25">
      <c r="E309" s="3"/>
      <c r="F309" s="3"/>
      <c r="H309" s="3"/>
    </row>
    <row r="310" spans="5:8" x14ac:dyDescent="0.25">
      <c r="E310" s="3"/>
      <c r="F310" s="3"/>
      <c r="H310" s="3"/>
    </row>
    <row r="311" spans="5:8" x14ac:dyDescent="0.25">
      <c r="E311" s="3"/>
      <c r="F311" s="3"/>
      <c r="H311" s="3"/>
    </row>
    <row r="312" spans="5:8" x14ac:dyDescent="0.25">
      <c r="E312" s="3"/>
      <c r="F312" s="3"/>
      <c r="H312" s="3"/>
    </row>
    <row r="313" spans="5:8" x14ac:dyDescent="0.25">
      <c r="E313" s="3"/>
      <c r="F313" s="3"/>
      <c r="H313" s="3"/>
    </row>
    <row r="314" spans="5:8" x14ac:dyDescent="0.25">
      <c r="E314" s="3"/>
      <c r="F314" s="3"/>
      <c r="H314" s="3"/>
    </row>
    <row r="315" spans="5:8" x14ac:dyDescent="0.25">
      <c r="E315" s="3"/>
      <c r="F315" s="3"/>
      <c r="H315" s="3"/>
    </row>
    <row r="316" spans="5:8" x14ac:dyDescent="0.25">
      <c r="E316" s="3"/>
      <c r="F316" s="3"/>
      <c r="H316" s="3"/>
    </row>
    <row r="317" spans="5:8" x14ac:dyDescent="0.25">
      <c r="E317" s="3"/>
      <c r="F317" s="3"/>
      <c r="H317" s="3"/>
    </row>
    <row r="318" spans="5:8" x14ac:dyDescent="0.25">
      <c r="E318" s="3"/>
      <c r="F318" s="3"/>
      <c r="H318" s="3"/>
    </row>
    <row r="319" spans="5:8" x14ac:dyDescent="0.25">
      <c r="E319" s="3"/>
      <c r="F319" s="3"/>
      <c r="H319" s="3"/>
    </row>
    <row r="320" spans="5:8" x14ac:dyDescent="0.25">
      <c r="E320" s="3"/>
      <c r="F320" s="3"/>
      <c r="H320" s="3"/>
    </row>
    <row r="321" spans="5:8" x14ac:dyDescent="0.25">
      <c r="E321" s="3"/>
      <c r="F321" s="3"/>
      <c r="H321" s="3"/>
    </row>
    <row r="322" spans="5:8" x14ac:dyDescent="0.25">
      <c r="E322" s="3"/>
      <c r="F322" s="3"/>
      <c r="H322" s="3"/>
    </row>
    <row r="323" spans="5:8" x14ac:dyDescent="0.25">
      <c r="E323" s="3"/>
      <c r="F323" s="3"/>
      <c r="H323" s="3"/>
    </row>
    <row r="324" spans="5:8" x14ac:dyDescent="0.25">
      <c r="E324" s="3"/>
      <c r="F324" s="3"/>
      <c r="H324" s="3"/>
    </row>
    <row r="325" spans="5:8" x14ac:dyDescent="0.25">
      <c r="E325" s="3"/>
      <c r="F325" s="3"/>
      <c r="H325" s="3"/>
    </row>
    <row r="326" spans="5:8" x14ac:dyDescent="0.25">
      <c r="E326" s="3"/>
      <c r="F326" s="3"/>
      <c r="H326" s="3"/>
    </row>
    <row r="327" spans="5:8" x14ac:dyDescent="0.25">
      <c r="E327" s="3"/>
      <c r="F327" s="3"/>
      <c r="H327" s="3"/>
    </row>
    <row r="328" spans="5:8" x14ac:dyDescent="0.25">
      <c r="E328" s="3"/>
      <c r="F328" s="3"/>
      <c r="H328" s="3"/>
    </row>
    <row r="329" spans="5:8" x14ac:dyDescent="0.25">
      <c r="E329" s="3"/>
      <c r="F329" s="3"/>
      <c r="H329" s="3"/>
    </row>
    <row r="330" spans="5:8" x14ac:dyDescent="0.25">
      <c r="E330" s="3"/>
      <c r="F330" s="3"/>
      <c r="H330" s="3"/>
    </row>
    <row r="331" spans="5:8" x14ac:dyDescent="0.25">
      <c r="E331" s="3"/>
      <c r="F331" s="3"/>
      <c r="H331" s="3"/>
    </row>
    <row r="332" spans="5:8" x14ac:dyDescent="0.25">
      <c r="E332" s="3"/>
      <c r="F332" s="3"/>
      <c r="H332" s="3"/>
    </row>
    <row r="333" spans="5:8" x14ac:dyDescent="0.25">
      <c r="E333" s="3"/>
      <c r="F333" s="3"/>
      <c r="H333" s="3"/>
    </row>
    <row r="334" spans="5:8" x14ac:dyDescent="0.25">
      <c r="E334" s="3"/>
      <c r="F334" s="3"/>
      <c r="H334" s="3"/>
    </row>
    <row r="335" spans="5:8" x14ac:dyDescent="0.25">
      <c r="E335" s="3"/>
      <c r="F335" s="3"/>
      <c r="H335" s="3"/>
    </row>
    <row r="336" spans="5:8" x14ac:dyDescent="0.25">
      <c r="E336" s="3"/>
      <c r="F336" s="3"/>
      <c r="H336" s="3"/>
    </row>
    <row r="337" spans="5:8" x14ac:dyDescent="0.25">
      <c r="E337" s="3"/>
      <c r="F337" s="3"/>
      <c r="H337" s="3"/>
    </row>
    <row r="338" spans="5:8" x14ac:dyDescent="0.25">
      <c r="E338" s="3"/>
      <c r="F338" s="3"/>
      <c r="H338" s="3"/>
    </row>
    <row r="339" spans="5:8" x14ac:dyDescent="0.25">
      <c r="E339" s="3"/>
      <c r="F339" s="3"/>
      <c r="H339" s="3"/>
    </row>
    <row r="340" spans="5:8" x14ac:dyDescent="0.25">
      <c r="E340" s="3"/>
      <c r="F340" s="3"/>
      <c r="H340" s="3"/>
    </row>
    <row r="341" spans="5:8" x14ac:dyDescent="0.25">
      <c r="E341" s="3"/>
      <c r="F341" s="3"/>
      <c r="H341" s="3"/>
    </row>
    <row r="342" spans="5:8" x14ac:dyDescent="0.25">
      <c r="E342" s="3"/>
      <c r="F342" s="3"/>
      <c r="H342" s="3"/>
    </row>
    <row r="343" spans="5:8" x14ac:dyDescent="0.25">
      <c r="E343" s="3"/>
      <c r="F343" s="3"/>
      <c r="H343" s="3"/>
    </row>
    <row r="344" spans="5:8" x14ac:dyDescent="0.25">
      <c r="E344" s="3"/>
      <c r="F344" s="3"/>
      <c r="H344" s="3"/>
    </row>
    <row r="345" spans="5:8" x14ac:dyDescent="0.25">
      <c r="E345" s="3"/>
      <c r="F345" s="3"/>
      <c r="H345" s="3"/>
    </row>
    <row r="346" spans="5:8" x14ac:dyDescent="0.25">
      <c r="E346" s="3"/>
      <c r="F346" s="3"/>
      <c r="H346" s="3"/>
    </row>
    <row r="347" spans="5:8" x14ac:dyDescent="0.25">
      <c r="E347" s="3"/>
      <c r="F347" s="3"/>
      <c r="H347" s="3"/>
    </row>
    <row r="348" spans="5:8" x14ac:dyDescent="0.25">
      <c r="E348" s="3"/>
      <c r="F348" s="3"/>
      <c r="H348" s="3"/>
    </row>
    <row r="349" spans="5:8" x14ac:dyDescent="0.25">
      <c r="E349" s="3"/>
      <c r="F349" s="3"/>
      <c r="H349" s="3"/>
    </row>
    <row r="350" spans="5:8" x14ac:dyDescent="0.25">
      <c r="E350" s="3"/>
      <c r="F350" s="3"/>
      <c r="H350" s="3"/>
    </row>
    <row r="351" spans="5:8" x14ac:dyDescent="0.25">
      <c r="E351" s="3"/>
      <c r="F351" s="3"/>
      <c r="H351" s="3"/>
    </row>
    <row r="352" spans="5:8" x14ac:dyDescent="0.25">
      <c r="E352" s="3"/>
      <c r="F352" s="3"/>
      <c r="H352" s="3"/>
    </row>
    <row r="353" spans="5:8" x14ac:dyDescent="0.25">
      <c r="E353" s="3"/>
      <c r="F353" s="3"/>
      <c r="H353" s="3"/>
    </row>
    <row r="354" spans="5:8" x14ac:dyDescent="0.25">
      <c r="E354" s="3"/>
      <c r="F354" s="3"/>
      <c r="H354" s="3"/>
    </row>
    <row r="355" spans="5:8" x14ac:dyDescent="0.25">
      <c r="E355" s="3"/>
      <c r="F355" s="3"/>
      <c r="H355" s="3"/>
    </row>
    <row r="356" spans="5:8" x14ac:dyDescent="0.25">
      <c r="E356" s="3"/>
      <c r="F356" s="3"/>
      <c r="H356" s="3"/>
    </row>
    <row r="357" spans="5:8" x14ac:dyDescent="0.25">
      <c r="E357" s="3"/>
      <c r="F357" s="3"/>
      <c r="H357" s="3"/>
    </row>
    <row r="358" spans="5:8" x14ac:dyDescent="0.25">
      <c r="E358" s="3"/>
      <c r="F358" s="3"/>
      <c r="H358" s="3"/>
    </row>
    <row r="359" spans="5:8" x14ac:dyDescent="0.25">
      <c r="E359" s="3"/>
      <c r="F359" s="3"/>
      <c r="H359" s="3"/>
    </row>
    <row r="360" spans="5:8" x14ac:dyDescent="0.25">
      <c r="E360" s="3"/>
      <c r="F360" s="3"/>
      <c r="H360" s="3"/>
    </row>
    <row r="361" spans="5:8" x14ac:dyDescent="0.25">
      <c r="E361" s="3"/>
      <c r="F361" s="3"/>
      <c r="H361" s="3"/>
    </row>
    <row r="362" spans="5:8" x14ac:dyDescent="0.25">
      <c r="E362" s="3"/>
      <c r="F362" s="3"/>
      <c r="H362" s="3"/>
    </row>
    <row r="363" spans="5:8" x14ac:dyDescent="0.25">
      <c r="E363" s="3"/>
      <c r="F363" s="3"/>
      <c r="H363" s="3"/>
    </row>
    <row r="364" spans="5:8" x14ac:dyDescent="0.25">
      <c r="E364" s="3"/>
      <c r="F364" s="3"/>
      <c r="H364" s="3"/>
    </row>
    <row r="365" spans="5:8" x14ac:dyDescent="0.25">
      <c r="E365" s="3"/>
      <c r="F365" s="3"/>
      <c r="H365" s="3"/>
    </row>
    <row r="366" spans="5:8" x14ac:dyDescent="0.25">
      <c r="E366" s="3"/>
      <c r="F366" s="3"/>
      <c r="H366" s="3"/>
    </row>
    <row r="367" spans="5:8" x14ac:dyDescent="0.25">
      <c r="E367" s="3"/>
      <c r="F367" s="3"/>
      <c r="H367" s="3"/>
    </row>
    <row r="368" spans="5:8" x14ac:dyDescent="0.25">
      <c r="E368" s="3"/>
      <c r="F368" s="3"/>
      <c r="H368" s="3"/>
    </row>
    <row r="369" spans="5:8" x14ac:dyDescent="0.25">
      <c r="E369" s="3"/>
      <c r="F369" s="3"/>
      <c r="H369" s="3"/>
    </row>
    <row r="370" spans="5:8" x14ac:dyDescent="0.25">
      <c r="E370" s="3"/>
      <c r="F370" s="3"/>
      <c r="H370" s="3"/>
    </row>
    <row r="371" spans="5:8" x14ac:dyDescent="0.25">
      <c r="E371" s="3"/>
      <c r="F371" s="3"/>
      <c r="H371" s="3"/>
    </row>
    <row r="372" spans="5:8" x14ac:dyDescent="0.25">
      <c r="E372" s="3"/>
      <c r="F372" s="3"/>
      <c r="H372" s="3"/>
    </row>
    <row r="373" spans="5:8" x14ac:dyDescent="0.25">
      <c r="E373" s="3"/>
      <c r="F373" s="3"/>
      <c r="H373" s="3"/>
    </row>
    <row r="374" spans="5:8" x14ac:dyDescent="0.25">
      <c r="E374" s="3"/>
      <c r="F374" s="3"/>
      <c r="H374" s="3"/>
    </row>
    <row r="375" spans="5:8" x14ac:dyDescent="0.25">
      <c r="E375" s="3"/>
      <c r="F375" s="3"/>
      <c r="H375" s="3"/>
    </row>
    <row r="376" spans="5:8" x14ac:dyDescent="0.25">
      <c r="E376" s="3"/>
      <c r="F376" s="3"/>
      <c r="H376" s="3"/>
    </row>
    <row r="377" spans="5:8" x14ac:dyDescent="0.25">
      <c r="E377" s="3"/>
      <c r="F377" s="3"/>
      <c r="H377" s="3"/>
    </row>
    <row r="378" spans="5:8" x14ac:dyDescent="0.25">
      <c r="E378" s="3"/>
      <c r="F378" s="3"/>
      <c r="H378" s="3"/>
    </row>
    <row r="379" spans="5:8" x14ac:dyDescent="0.25">
      <c r="E379" s="3"/>
      <c r="F379" s="3"/>
      <c r="H379" s="3"/>
    </row>
    <row r="380" spans="5:8" x14ac:dyDescent="0.25">
      <c r="E380" s="3"/>
      <c r="F380" s="3"/>
      <c r="H380" s="3"/>
    </row>
    <row r="381" spans="5:8" x14ac:dyDescent="0.25">
      <c r="E381" s="3"/>
      <c r="F381" s="3"/>
      <c r="H381" s="3"/>
    </row>
    <row r="382" spans="5:8" x14ac:dyDescent="0.25">
      <c r="E382" s="3"/>
      <c r="F382" s="3"/>
      <c r="H382" s="3"/>
    </row>
    <row r="383" spans="5:8" x14ac:dyDescent="0.25">
      <c r="E383" s="3"/>
      <c r="F383" s="3"/>
      <c r="H383" s="3"/>
    </row>
    <row r="384" spans="5:8" x14ac:dyDescent="0.25">
      <c r="E384" s="3"/>
      <c r="F384" s="3"/>
      <c r="H384" s="3"/>
    </row>
    <row r="385" spans="5:8" x14ac:dyDescent="0.25">
      <c r="E385" s="3"/>
      <c r="F385" s="3"/>
      <c r="H385" s="3"/>
    </row>
    <row r="386" spans="5:8" x14ac:dyDescent="0.25">
      <c r="E386" s="3"/>
      <c r="F386" s="3"/>
      <c r="H386" s="3"/>
    </row>
    <row r="387" spans="5:8" x14ac:dyDescent="0.25">
      <c r="E387" s="3"/>
      <c r="F387" s="3"/>
      <c r="H387" s="3"/>
    </row>
    <row r="388" spans="5:8" x14ac:dyDescent="0.25">
      <c r="E388" s="3"/>
      <c r="F388" s="3"/>
      <c r="H388" s="3"/>
    </row>
    <row r="389" spans="5:8" x14ac:dyDescent="0.25">
      <c r="E389" s="3"/>
      <c r="F389" s="3"/>
      <c r="H389" s="3"/>
    </row>
    <row r="390" spans="5:8" x14ac:dyDescent="0.25">
      <c r="E390" s="3"/>
      <c r="F390" s="3"/>
      <c r="H390" s="3"/>
    </row>
    <row r="391" spans="5:8" x14ac:dyDescent="0.25">
      <c r="E391" s="3"/>
      <c r="F391" s="3"/>
      <c r="H391" s="3"/>
    </row>
    <row r="392" spans="5:8" x14ac:dyDescent="0.25">
      <c r="E392" s="3"/>
      <c r="F392" s="3"/>
      <c r="H392" s="3"/>
    </row>
    <row r="393" spans="5:8" x14ac:dyDescent="0.25">
      <c r="E393" s="3"/>
      <c r="F393" s="3"/>
      <c r="H393" s="3"/>
    </row>
    <row r="394" spans="5:8" x14ac:dyDescent="0.25">
      <c r="E394" s="3"/>
      <c r="F394" s="3"/>
      <c r="H394" s="3"/>
    </row>
    <row r="395" spans="5:8" x14ac:dyDescent="0.25">
      <c r="E395" s="3"/>
      <c r="F395" s="3"/>
      <c r="H395" s="3"/>
    </row>
    <row r="396" spans="5:8" x14ac:dyDescent="0.25">
      <c r="E396" s="3"/>
      <c r="F396" s="3"/>
      <c r="H396" s="3"/>
    </row>
    <row r="397" spans="5:8" x14ac:dyDescent="0.25">
      <c r="E397" s="3"/>
      <c r="F397" s="3"/>
      <c r="H397" s="3"/>
    </row>
    <row r="398" spans="5:8" x14ac:dyDescent="0.25">
      <c r="E398" s="3"/>
      <c r="F398" s="3"/>
      <c r="H398" s="3"/>
    </row>
    <row r="399" spans="5:8" x14ac:dyDescent="0.25">
      <c r="E399" s="3"/>
      <c r="F399" s="3"/>
      <c r="H399" s="3"/>
    </row>
    <row r="400" spans="5:8" x14ac:dyDescent="0.25">
      <c r="E400" s="3"/>
      <c r="F400" s="3"/>
      <c r="H400" s="3"/>
    </row>
    <row r="401" spans="5:8" x14ac:dyDescent="0.25">
      <c r="E401" s="3"/>
      <c r="F401" s="3"/>
      <c r="H401" s="3"/>
    </row>
    <row r="402" spans="5:8" x14ac:dyDescent="0.25">
      <c r="E402" s="3"/>
      <c r="F402" s="3"/>
      <c r="H402" s="3"/>
    </row>
    <row r="403" spans="5:8" x14ac:dyDescent="0.25">
      <c r="E403" s="3"/>
      <c r="F403" s="3"/>
      <c r="H403" s="3"/>
    </row>
    <row r="404" spans="5:8" x14ac:dyDescent="0.25">
      <c r="E404" s="3"/>
      <c r="F404" s="3"/>
      <c r="H404" s="3"/>
    </row>
    <row r="405" spans="5:8" x14ac:dyDescent="0.25">
      <c r="E405" s="3"/>
      <c r="F405" s="3"/>
      <c r="H405" s="3"/>
    </row>
    <row r="406" spans="5:8" x14ac:dyDescent="0.25">
      <c r="E406" s="3"/>
      <c r="F406" s="3"/>
      <c r="H406" s="3"/>
    </row>
    <row r="407" spans="5:8" x14ac:dyDescent="0.25">
      <c r="E407" s="3"/>
      <c r="F407" s="3"/>
      <c r="H407" s="3"/>
    </row>
    <row r="408" spans="5:8" x14ac:dyDescent="0.25">
      <c r="E408" s="3"/>
      <c r="F408" s="3"/>
      <c r="H408" s="3"/>
    </row>
    <row r="409" spans="5:8" x14ac:dyDescent="0.25">
      <c r="E409" s="3"/>
      <c r="F409" s="3"/>
      <c r="H409" s="3"/>
    </row>
    <row r="410" spans="5:8" x14ac:dyDescent="0.25">
      <c r="E410" s="3"/>
      <c r="F410" s="3"/>
      <c r="H410" s="3"/>
    </row>
    <row r="411" spans="5:8" x14ac:dyDescent="0.25">
      <c r="E411" s="3"/>
      <c r="F411" s="3"/>
      <c r="H411" s="3"/>
    </row>
    <row r="412" spans="5:8" x14ac:dyDescent="0.25">
      <c r="E412" s="3"/>
      <c r="F412" s="3"/>
      <c r="H412" s="3"/>
    </row>
    <row r="413" spans="5:8" x14ac:dyDescent="0.25">
      <c r="E413" s="3"/>
      <c r="F413" s="3"/>
      <c r="H413" s="3"/>
    </row>
    <row r="414" spans="5:8" x14ac:dyDescent="0.25">
      <c r="E414" s="3"/>
      <c r="F414" s="3"/>
      <c r="H414" s="3"/>
    </row>
    <row r="415" spans="5:8" x14ac:dyDescent="0.25">
      <c r="E415" s="3"/>
      <c r="F415" s="3"/>
      <c r="H415" s="3"/>
    </row>
    <row r="416" spans="5:8" x14ac:dyDescent="0.25">
      <c r="E416" s="3"/>
      <c r="F416" s="3"/>
      <c r="H416" s="3"/>
    </row>
    <row r="417" spans="5:8" x14ac:dyDescent="0.25">
      <c r="E417" s="3"/>
      <c r="F417" s="3"/>
      <c r="H417" s="3"/>
    </row>
    <row r="418" spans="5:8" x14ac:dyDescent="0.25">
      <c r="E418" s="3"/>
      <c r="F418" s="3"/>
      <c r="H418" s="3"/>
    </row>
    <row r="419" spans="5:8" x14ac:dyDescent="0.25">
      <c r="E419" s="3"/>
      <c r="F419" s="3"/>
      <c r="H419" s="3"/>
    </row>
    <row r="420" spans="5:8" x14ac:dyDescent="0.25">
      <c r="E420" s="3"/>
      <c r="F420" s="3"/>
      <c r="H420" s="3"/>
    </row>
    <row r="421" spans="5:8" x14ac:dyDescent="0.25">
      <c r="E421" s="3"/>
      <c r="F421" s="3"/>
      <c r="H421" s="3"/>
    </row>
    <row r="422" spans="5:8" x14ac:dyDescent="0.25">
      <c r="E422" s="3"/>
      <c r="F422" s="3"/>
      <c r="H422" s="3"/>
    </row>
    <row r="423" spans="5:8" x14ac:dyDescent="0.25">
      <c r="E423" s="3"/>
      <c r="F423" s="3"/>
      <c r="H423" s="3"/>
    </row>
    <row r="424" spans="5:8" x14ac:dyDescent="0.25">
      <c r="E424" s="3"/>
      <c r="F424" s="3"/>
      <c r="H424" s="3"/>
    </row>
    <row r="425" spans="5:8" x14ac:dyDescent="0.25">
      <c r="E425" s="3"/>
      <c r="F425" s="3"/>
      <c r="H425" s="3"/>
    </row>
    <row r="426" spans="5:8" x14ac:dyDescent="0.25">
      <c r="E426" s="3"/>
      <c r="F426" s="3"/>
      <c r="H426" s="3"/>
    </row>
    <row r="427" spans="5:8" x14ac:dyDescent="0.25">
      <c r="E427" s="3"/>
      <c r="F427" s="3"/>
      <c r="H427" s="3"/>
    </row>
    <row r="428" spans="5:8" x14ac:dyDescent="0.25">
      <c r="E428" s="3"/>
      <c r="F428" s="3"/>
      <c r="H428" s="3"/>
    </row>
    <row r="429" spans="5:8" x14ac:dyDescent="0.25">
      <c r="E429" s="3"/>
      <c r="F429" s="3"/>
      <c r="H429" s="3"/>
    </row>
    <row r="430" spans="5:8" x14ac:dyDescent="0.25">
      <c r="E430" s="3"/>
      <c r="F430" s="3"/>
      <c r="H430" s="3"/>
    </row>
    <row r="431" spans="5:8" x14ac:dyDescent="0.25">
      <c r="E431" s="3"/>
      <c r="F431" s="3"/>
      <c r="H431" s="3"/>
    </row>
    <row r="432" spans="5:8" x14ac:dyDescent="0.25">
      <c r="E432" s="3"/>
      <c r="F432" s="3"/>
      <c r="H432" s="3"/>
    </row>
    <row r="433" spans="5:8" x14ac:dyDescent="0.25">
      <c r="E433" s="3"/>
      <c r="F433" s="3"/>
      <c r="H433" s="3"/>
    </row>
    <row r="434" spans="5:8" x14ac:dyDescent="0.25">
      <c r="E434" s="3"/>
      <c r="F434" s="3"/>
      <c r="H434" s="3"/>
    </row>
    <row r="435" spans="5:8" x14ac:dyDescent="0.25">
      <c r="E435" s="3"/>
      <c r="F435" s="3"/>
      <c r="H435" s="3"/>
    </row>
    <row r="436" spans="5:8" x14ac:dyDescent="0.25">
      <c r="E436" s="3"/>
      <c r="F436" s="3"/>
      <c r="H436" s="3"/>
    </row>
    <row r="437" spans="5:8" x14ac:dyDescent="0.25">
      <c r="E437" s="3"/>
      <c r="F437" s="3"/>
      <c r="H437" s="3"/>
    </row>
    <row r="438" spans="5:8" x14ac:dyDescent="0.25">
      <c r="E438" s="3"/>
      <c r="F438" s="3"/>
      <c r="H438" s="3"/>
    </row>
    <row r="439" spans="5:8" x14ac:dyDescent="0.25">
      <c r="E439" s="3"/>
      <c r="F439" s="3"/>
      <c r="H439" s="3"/>
    </row>
    <row r="440" spans="5:8" x14ac:dyDescent="0.25">
      <c r="E440" s="3"/>
      <c r="F440" s="3"/>
      <c r="H440" s="3"/>
    </row>
    <row r="441" spans="5:8" x14ac:dyDescent="0.25">
      <c r="E441" s="3"/>
      <c r="F441" s="3"/>
      <c r="H441" s="3"/>
    </row>
    <row r="442" spans="5:8" x14ac:dyDescent="0.25">
      <c r="E442" s="3"/>
      <c r="F442" s="3"/>
      <c r="H442" s="3"/>
    </row>
    <row r="443" spans="5:8" x14ac:dyDescent="0.25">
      <c r="E443" s="3"/>
      <c r="F443" s="3"/>
      <c r="H443" s="3"/>
    </row>
    <row r="444" spans="5:8" x14ac:dyDescent="0.25">
      <c r="E444" s="3"/>
      <c r="F444" s="3"/>
      <c r="H444" s="3"/>
    </row>
    <row r="445" spans="5:8" x14ac:dyDescent="0.25">
      <c r="E445" s="3"/>
      <c r="F445" s="3"/>
      <c r="H445" s="3"/>
    </row>
    <row r="446" spans="5:8" x14ac:dyDescent="0.25">
      <c r="E446" s="3"/>
      <c r="F446" s="3"/>
      <c r="H446" s="3"/>
    </row>
    <row r="447" spans="5:8" x14ac:dyDescent="0.25">
      <c r="E447" s="3"/>
      <c r="F447" s="3"/>
      <c r="H447" s="3"/>
    </row>
    <row r="448" spans="5:8" x14ac:dyDescent="0.25">
      <c r="E448" s="3"/>
      <c r="F448" s="3"/>
      <c r="H448" s="3"/>
    </row>
    <row r="449" spans="5:8" x14ac:dyDescent="0.25">
      <c r="E449" s="3"/>
      <c r="F449" s="3"/>
      <c r="H449" s="3"/>
    </row>
    <row r="450" spans="5:8" x14ac:dyDescent="0.25">
      <c r="E450" s="3"/>
      <c r="F450" s="3"/>
      <c r="H450" s="3"/>
    </row>
    <row r="451" spans="5:8" x14ac:dyDescent="0.25">
      <c r="E451" s="3"/>
      <c r="F451" s="3"/>
      <c r="H451" s="3"/>
    </row>
    <row r="452" spans="5:8" x14ac:dyDescent="0.25">
      <c r="E452" s="3"/>
      <c r="F452" s="3"/>
      <c r="H452" s="3"/>
    </row>
    <row r="453" spans="5:8" x14ac:dyDescent="0.25">
      <c r="E453" s="3"/>
      <c r="F453" s="3"/>
      <c r="H453" s="3"/>
    </row>
    <row r="454" spans="5:8" x14ac:dyDescent="0.25">
      <c r="E454" s="3"/>
      <c r="F454" s="3"/>
      <c r="H454" s="3"/>
    </row>
    <row r="455" spans="5:8" x14ac:dyDescent="0.25">
      <c r="E455" s="3"/>
      <c r="F455" s="3"/>
      <c r="H455" s="3"/>
    </row>
    <row r="456" spans="5:8" x14ac:dyDescent="0.25">
      <c r="E456" s="3"/>
      <c r="F456" s="3"/>
      <c r="H456" s="3"/>
    </row>
    <row r="457" spans="5:8" x14ac:dyDescent="0.25">
      <c r="E457" s="3"/>
      <c r="F457" s="3"/>
      <c r="H457" s="3"/>
    </row>
    <row r="458" spans="5:8" x14ac:dyDescent="0.25">
      <c r="E458" s="3"/>
      <c r="F458" s="3"/>
      <c r="H458" s="3"/>
    </row>
    <row r="459" spans="5:8" x14ac:dyDescent="0.25">
      <c r="E459" s="3"/>
      <c r="F459" s="3"/>
      <c r="H459" s="3"/>
    </row>
    <row r="460" spans="5:8" x14ac:dyDescent="0.25">
      <c r="E460" s="3"/>
      <c r="F460" s="3"/>
      <c r="H460" s="3"/>
    </row>
    <row r="461" spans="5:8" x14ac:dyDescent="0.25">
      <c r="E461" s="3"/>
      <c r="F461" s="3"/>
      <c r="H461" s="3"/>
    </row>
    <row r="462" spans="5:8" x14ac:dyDescent="0.25">
      <c r="E462" s="3"/>
      <c r="F462" s="3"/>
      <c r="H462" s="3"/>
    </row>
    <row r="463" spans="5:8" x14ac:dyDescent="0.25">
      <c r="E463" s="3"/>
      <c r="F463" s="3"/>
      <c r="H463" s="3"/>
    </row>
    <row r="464" spans="5:8" x14ac:dyDescent="0.25">
      <c r="E464" s="3"/>
      <c r="F464" s="3"/>
      <c r="H464" s="3"/>
    </row>
    <row r="465" spans="5:8" x14ac:dyDescent="0.25">
      <c r="E465" s="3"/>
      <c r="F465" s="3"/>
      <c r="H465" s="3"/>
    </row>
    <row r="466" spans="5:8" x14ac:dyDescent="0.25">
      <c r="E466" s="3"/>
      <c r="F466" s="3"/>
      <c r="H466" s="3"/>
    </row>
    <row r="467" spans="5:8" x14ac:dyDescent="0.25">
      <c r="E467" s="3"/>
      <c r="F467" s="3"/>
      <c r="H467" s="3"/>
    </row>
    <row r="468" spans="5:8" x14ac:dyDescent="0.25">
      <c r="E468" s="3"/>
      <c r="F468" s="3"/>
      <c r="H468" s="3"/>
    </row>
    <row r="469" spans="5:8" x14ac:dyDescent="0.25">
      <c r="E469" s="3"/>
      <c r="F469" s="3"/>
      <c r="H469" s="3"/>
    </row>
    <row r="470" spans="5:8" x14ac:dyDescent="0.25">
      <c r="E470" s="3"/>
      <c r="F470" s="3"/>
      <c r="H470" s="3"/>
    </row>
    <row r="471" spans="5:8" x14ac:dyDescent="0.25">
      <c r="E471" s="3"/>
      <c r="F471" s="3"/>
      <c r="H471" s="3"/>
    </row>
    <row r="472" spans="5:8" x14ac:dyDescent="0.25">
      <c r="E472" s="3"/>
      <c r="F472" s="3"/>
      <c r="H472" s="3"/>
    </row>
    <row r="473" spans="5:8" x14ac:dyDescent="0.25">
      <c r="E473" s="3"/>
      <c r="F473" s="3"/>
      <c r="H473" s="3"/>
    </row>
    <row r="474" spans="5:8" x14ac:dyDescent="0.25">
      <c r="E474" s="3"/>
      <c r="F474" s="3"/>
      <c r="H474" s="3"/>
    </row>
    <row r="475" spans="5:8" x14ac:dyDescent="0.25">
      <c r="E475" s="3"/>
      <c r="F475" s="3"/>
      <c r="H475" s="3"/>
    </row>
    <row r="476" spans="5:8" x14ac:dyDescent="0.25">
      <c r="E476" s="3"/>
      <c r="F476" s="3"/>
      <c r="H476" s="3"/>
    </row>
    <row r="477" spans="5:8" x14ac:dyDescent="0.25">
      <c r="E477" s="3"/>
      <c r="F477" s="3"/>
      <c r="H477" s="3"/>
    </row>
    <row r="478" spans="5:8" x14ac:dyDescent="0.25">
      <c r="E478" s="3"/>
      <c r="F478" s="3"/>
      <c r="H478" s="3"/>
    </row>
    <row r="479" spans="5:8" x14ac:dyDescent="0.25">
      <c r="E479" s="3"/>
      <c r="F479" s="3"/>
      <c r="H479" s="3"/>
    </row>
    <row r="480" spans="5:8" x14ac:dyDescent="0.25">
      <c r="E480" s="3"/>
      <c r="F480" s="3"/>
      <c r="H480" s="3"/>
    </row>
    <row r="481" spans="5:8" x14ac:dyDescent="0.25">
      <c r="E481" s="3"/>
      <c r="F481" s="3"/>
      <c r="H481" s="3"/>
    </row>
    <row r="482" spans="5:8" x14ac:dyDescent="0.25">
      <c r="E482" s="3"/>
      <c r="F482" s="3"/>
      <c r="H482" s="3"/>
    </row>
    <row r="483" spans="5:8" x14ac:dyDescent="0.25">
      <c r="E483" s="3"/>
      <c r="F483" s="3"/>
      <c r="H483" s="3"/>
    </row>
    <row r="484" spans="5:8" x14ac:dyDescent="0.25">
      <c r="E484" s="3"/>
      <c r="F484" s="3"/>
      <c r="H484" s="3"/>
    </row>
    <row r="485" spans="5:8" x14ac:dyDescent="0.25">
      <c r="E485" s="3"/>
      <c r="F485" s="3"/>
      <c r="H485" s="3"/>
    </row>
    <row r="486" spans="5:8" x14ac:dyDescent="0.25">
      <c r="E486" s="3"/>
      <c r="F486" s="3"/>
      <c r="H486" s="3"/>
    </row>
    <row r="487" spans="5:8" x14ac:dyDescent="0.25">
      <c r="E487" s="3"/>
      <c r="F487" s="3"/>
      <c r="H487" s="3"/>
    </row>
    <row r="488" spans="5:8" x14ac:dyDescent="0.25">
      <c r="E488" s="3"/>
      <c r="F488" s="3"/>
      <c r="H488" s="3"/>
    </row>
    <row r="489" spans="5:8" x14ac:dyDescent="0.25">
      <c r="E489" s="3"/>
      <c r="F489" s="3"/>
      <c r="H489" s="3"/>
    </row>
    <row r="490" spans="5:8" x14ac:dyDescent="0.25">
      <c r="E490" s="3"/>
      <c r="F490" s="3"/>
      <c r="H490" s="3"/>
    </row>
    <row r="491" spans="5:8" x14ac:dyDescent="0.25">
      <c r="E491" s="3"/>
      <c r="F491" s="3"/>
      <c r="H491" s="3"/>
    </row>
    <row r="492" spans="5:8" x14ac:dyDescent="0.25">
      <c r="E492" s="3"/>
      <c r="F492" s="3"/>
      <c r="H492" s="3"/>
    </row>
    <row r="493" spans="5:8" x14ac:dyDescent="0.25">
      <c r="E493" s="3"/>
      <c r="F493" s="3"/>
      <c r="H493" s="3"/>
    </row>
    <row r="494" spans="5:8" x14ac:dyDescent="0.25">
      <c r="E494" s="3"/>
      <c r="F494" s="3"/>
      <c r="H494" s="3"/>
    </row>
    <row r="495" spans="5:8" x14ac:dyDescent="0.25">
      <c r="E495" s="3"/>
      <c r="F495" s="3"/>
      <c r="H495" s="3"/>
    </row>
    <row r="496" spans="5:8" x14ac:dyDescent="0.25">
      <c r="E496" s="3"/>
      <c r="F496" s="3"/>
      <c r="H496" s="3"/>
    </row>
    <row r="497" spans="5:8" x14ac:dyDescent="0.25">
      <c r="E497" s="3"/>
      <c r="F497" s="3"/>
      <c r="H497" s="3"/>
    </row>
    <row r="498" spans="5:8" x14ac:dyDescent="0.25">
      <c r="E498" s="3"/>
      <c r="F498" s="3"/>
      <c r="H498" s="3"/>
    </row>
    <row r="499" spans="5:8" x14ac:dyDescent="0.25">
      <c r="E499" s="3"/>
      <c r="F499" s="3"/>
      <c r="H499" s="3"/>
    </row>
    <row r="500" spans="5:8" x14ac:dyDescent="0.25">
      <c r="E500" s="3"/>
      <c r="F500" s="3"/>
      <c r="H500" s="3"/>
    </row>
    <row r="501" spans="5:8" x14ac:dyDescent="0.25">
      <c r="E501" s="3"/>
      <c r="F501" s="3"/>
      <c r="H501" s="3"/>
    </row>
    <row r="502" spans="5:8" x14ac:dyDescent="0.25">
      <c r="E502" s="3"/>
      <c r="F502" s="3"/>
      <c r="H502" s="3"/>
    </row>
    <row r="503" spans="5:8" x14ac:dyDescent="0.25">
      <c r="E503" s="3"/>
      <c r="F503" s="3"/>
      <c r="H503" s="3"/>
    </row>
    <row r="504" spans="5:8" x14ac:dyDescent="0.25">
      <c r="E504" s="3"/>
      <c r="F504" s="3"/>
      <c r="H504" s="3"/>
    </row>
    <row r="505" spans="5:8" x14ac:dyDescent="0.25">
      <c r="E505" s="3"/>
      <c r="F505" s="3"/>
      <c r="H505" s="3"/>
    </row>
    <row r="506" spans="5:8" x14ac:dyDescent="0.25">
      <c r="E506" s="3"/>
      <c r="F506" s="3"/>
      <c r="H506" s="3"/>
    </row>
    <row r="507" spans="5:8" x14ac:dyDescent="0.25">
      <c r="E507" s="3"/>
      <c r="F507" s="3"/>
      <c r="H507" s="3"/>
    </row>
    <row r="508" spans="5:8" x14ac:dyDescent="0.25">
      <c r="E508" s="3"/>
      <c r="F508" s="3"/>
      <c r="H508" s="3"/>
    </row>
    <row r="509" spans="5:8" x14ac:dyDescent="0.25">
      <c r="E509" s="3"/>
      <c r="F509" s="3"/>
      <c r="H509" s="3"/>
    </row>
    <row r="510" spans="5:8" x14ac:dyDescent="0.25">
      <c r="E510" s="3"/>
      <c r="F510" s="3"/>
      <c r="H510" s="3"/>
    </row>
    <row r="511" spans="5:8" x14ac:dyDescent="0.25">
      <c r="E511" s="3"/>
      <c r="F511" s="3"/>
      <c r="H511" s="3"/>
    </row>
    <row r="512" spans="5:8" x14ac:dyDescent="0.25">
      <c r="E512" s="3"/>
      <c r="F512" s="3"/>
      <c r="H512" s="3"/>
    </row>
    <row r="513" spans="5:8" x14ac:dyDescent="0.25">
      <c r="E513" s="3"/>
      <c r="F513" s="3"/>
      <c r="H513" s="3"/>
    </row>
    <row r="514" spans="5:8" x14ac:dyDescent="0.25">
      <c r="E514" s="3"/>
      <c r="F514" s="3"/>
      <c r="H514" s="3"/>
    </row>
    <row r="515" spans="5:8" x14ac:dyDescent="0.25">
      <c r="E515" s="3"/>
      <c r="F515" s="3"/>
      <c r="H515" s="3"/>
    </row>
    <row r="516" spans="5:8" x14ac:dyDescent="0.25">
      <c r="E516" s="3"/>
      <c r="F516" s="3"/>
      <c r="H516" s="3"/>
    </row>
    <row r="517" spans="5:8" x14ac:dyDescent="0.25">
      <c r="E517" s="3"/>
      <c r="F517" s="3"/>
      <c r="H517" s="3"/>
    </row>
    <row r="518" spans="5:8" x14ac:dyDescent="0.25">
      <c r="E518" s="3"/>
      <c r="F518" s="3"/>
      <c r="H518" s="3"/>
    </row>
    <row r="519" spans="5:8" x14ac:dyDescent="0.25">
      <c r="E519" s="3"/>
      <c r="F519" s="3"/>
      <c r="H519" s="3"/>
    </row>
    <row r="520" spans="5:8" x14ac:dyDescent="0.25">
      <c r="E520" s="3"/>
      <c r="F520" s="3"/>
      <c r="H520" s="3"/>
    </row>
    <row r="521" spans="5:8" x14ac:dyDescent="0.25">
      <c r="E521" s="3"/>
      <c r="F521" s="3"/>
      <c r="H521" s="3"/>
    </row>
    <row r="522" spans="5:8" x14ac:dyDescent="0.25">
      <c r="E522" s="3"/>
      <c r="F522" s="3"/>
      <c r="H522" s="3"/>
    </row>
    <row r="523" spans="5:8" x14ac:dyDescent="0.25">
      <c r="E523" s="3"/>
      <c r="F523" s="3"/>
      <c r="H523" s="3"/>
    </row>
    <row r="524" spans="5:8" x14ac:dyDescent="0.25">
      <c r="E524" s="3"/>
      <c r="F524" s="3"/>
      <c r="H524" s="3"/>
    </row>
    <row r="525" spans="5:8" x14ac:dyDescent="0.25">
      <c r="E525" s="3"/>
      <c r="F525" s="3"/>
      <c r="H525" s="3"/>
    </row>
    <row r="526" spans="5:8" x14ac:dyDescent="0.25">
      <c r="E526" s="3"/>
      <c r="F526" s="3"/>
      <c r="H526" s="3"/>
    </row>
    <row r="527" spans="5:8" x14ac:dyDescent="0.25">
      <c r="E527" s="3"/>
      <c r="F527" s="3"/>
      <c r="H527" s="3"/>
    </row>
    <row r="528" spans="5:8" x14ac:dyDescent="0.25">
      <c r="E528" s="3"/>
      <c r="F528" s="3"/>
      <c r="H528" s="3"/>
    </row>
    <row r="529" spans="5:8" x14ac:dyDescent="0.25">
      <c r="E529" s="3"/>
      <c r="F529" s="3"/>
      <c r="H529" s="3"/>
    </row>
    <row r="530" spans="5:8" x14ac:dyDescent="0.25">
      <c r="E530" s="3"/>
      <c r="F530" s="3"/>
      <c r="H530" s="3"/>
    </row>
    <row r="531" spans="5:8" x14ac:dyDescent="0.25">
      <c r="E531" s="3"/>
      <c r="F531" s="3"/>
      <c r="H531" s="3"/>
    </row>
    <row r="532" spans="5:8" x14ac:dyDescent="0.25">
      <c r="E532" s="3"/>
      <c r="F532" s="3"/>
      <c r="H532" s="3"/>
    </row>
    <row r="533" spans="5:8" x14ac:dyDescent="0.25">
      <c r="E533" s="3"/>
      <c r="F533" s="3"/>
      <c r="H533" s="3"/>
    </row>
    <row r="534" spans="5:8" x14ac:dyDescent="0.25">
      <c r="E534" s="3"/>
      <c r="F534" s="3"/>
      <c r="H534" s="3"/>
    </row>
    <row r="535" spans="5:8" x14ac:dyDescent="0.25">
      <c r="E535" s="3"/>
      <c r="F535" s="3"/>
      <c r="H535" s="3"/>
    </row>
    <row r="536" spans="5:8" x14ac:dyDescent="0.25">
      <c r="E536" s="3"/>
      <c r="F536" s="3"/>
      <c r="H536" s="3"/>
    </row>
    <row r="537" spans="5:8" x14ac:dyDescent="0.25">
      <c r="E537" s="3"/>
      <c r="F537" s="3"/>
      <c r="H537" s="3"/>
    </row>
    <row r="538" spans="5:8" x14ac:dyDescent="0.25">
      <c r="E538" s="3"/>
      <c r="F538" s="3"/>
      <c r="H538" s="3"/>
    </row>
    <row r="539" spans="5:8" x14ac:dyDescent="0.25">
      <c r="E539" s="3"/>
      <c r="F539" s="3"/>
      <c r="H539" s="3"/>
    </row>
    <row r="540" spans="5:8" x14ac:dyDescent="0.25">
      <c r="E540" s="3"/>
      <c r="F540" s="3"/>
      <c r="H540" s="3"/>
    </row>
    <row r="541" spans="5:8" x14ac:dyDescent="0.25">
      <c r="E541" s="3"/>
      <c r="F541" s="3"/>
      <c r="H541" s="3"/>
    </row>
    <row r="542" spans="5:8" x14ac:dyDescent="0.25">
      <c r="E542" s="3"/>
      <c r="F542" s="3"/>
      <c r="H542" s="3"/>
    </row>
    <row r="543" spans="5:8" x14ac:dyDescent="0.25">
      <c r="E543" s="3"/>
      <c r="F543" s="3"/>
      <c r="H543" s="3"/>
    </row>
    <row r="544" spans="5:8" x14ac:dyDescent="0.25">
      <c r="E544" s="3"/>
      <c r="F544" s="3"/>
      <c r="H544" s="3"/>
    </row>
    <row r="545" spans="5:8" x14ac:dyDescent="0.25">
      <c r="E545" s="3"/>
      <c r="F545" s="3"/>
      <c r="H545" s="3"/>
    </row>
    <row r="546" spans="5:8" x14ac:dyDescent="0.25">
      <c r="E546" s="3"/>
      <c r="F546" s="3"/>
      <c r="H546" s="3"/>
    </row>
    <row r="547" spans="5:8" x14ac:dyDescent="0.25">
      <c r="E547" s="3"/>
      <c r="F547" s="3"/>
      <c r="H547" s="3"/>
    </row>
    <row r="548" spans="5:8" x14ac:dyDescent="0.25">
      <c r="E548" s="3"/>
      <c r="F548" s="3"/>
      <c r="H548" s="3"/>
    </row>
    <row r="549" spans="5:8" x14ac:dyDescent="0.25">
      <c r="E549" s="3"/>
      <c r="F549" s="3"/>
      <c r="H549" s="3"/>
    </row>
    <row r="550" spans="5:8" x14ac:dyDescent="0.25">
      <c r="E550" s="3"/>
      <c r="F550" s="3"/>
      <c r="H550" s="3"/>
    </row>
    <row r="551" spans="5:8" x14ac:dyDescent="0.25">
      <c r="E551" s="3"/>
      <c r="F551" s="3"/>
      <c r="H551" s="3"/>
    </row>
    <row r="552" spans="5:8" x14ac:dyDescent="0.25">
      <c r="E552" s="3"/>
      <c r="F552" s="3"/>
      <c r="H552" s="3"/>
    </row>
    <row r="553" spans="5:8" x14ac:dyDescent="0.25">
      <c r="E553" s="3"/>
      <c r="F553" s="3"/>
      <c r="H553" s="3"/>
    </row>
    <row r="554" spans="5:8" x14ac:dyDescent="0.25">
      <c r="E554" s="3"/>
      <c r="F554" s="3"/>
      <c r="H554" s="3"/>
    </row>
    <row r="555" spans="5:8" x14ac:dyDescent="0.25">
      <c r="E555" s="3"/>
      <c r="F555" s="3"/>
      <c r="H555" s="3"/>
    </row>
    <row r="556" spans="5:8" x14ac:dyDescent="0.25">
      <c r="E556" s="3"/>
      <c r="F556" s="3"/>
      <c r="H556" s="3"/>
    </row>
    <row r="557" spans="5:8" x14ac:dyDescent="0.25">
      <c r="E557" s="3"/>
      <c r="F557" s="3"/>
      <c r="H557" s="3"/>
    </row>
  </sheetData>
  <sortState xmlns:xlrd2="http://schemas.microsoft.com/office/spreadsheetml/2017/richdata2" ref="A4:F8">
    <sortCondition ref="B4:B8"/>
  </sortState>
  <mergeCells count="2">
    <mergeCell ref="A1:I2"/>
    <mergeCell ref="P1:X1"/>
  </mergeCells>
  <conditionalFormatting sqref="A4:I928">
    <cfRule type="expression" dxfId="1" priority="3">
      <formula>AND($A4&lt;&gt;"",MOD(ROW(),2)=0)</formula>
    </cfRule>
  </conditionalFormatting>
  <conditionalFormatting sqref="G4:G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2">
    <dataValidation type="list" allowBlank="1" showInputMessage="1" showErrorMessage="1" sqref="D507" xr:uid="{3983161E-7209-49E5-82F8-47A687D8B6E9}">
      <formula1>Subcategory6</formula1>
    </dataValidation>
    <dataValidation type="list" allowBlank="1" showInputMessage="1" showErrorMessage="1" sqref="C4:C557" xr:uid="{CFCBDAF4-4204-4958-B167-9B56F8E20540}">
      <formula1>Categories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9"/>
  <sheetViews>
    <sheetView topLeftCell="B10" workbookViewId="0">
      <selection activeCell="C19" sqref="C19"/>
    </sheetView>
  </sheetViews>
  <sheetFormatPr defaultRowHeight="15" x14ac:dyDescent="0.25"/>
  <cols>
    <col min="1" max="1" width="8" style="1" bestFit="1" customWidth="1"/>
    <col min="2" max="2" width="10.140625" bestFit="1" customWidth="1"/>
    <col min="3" max="3" width="22.5703125" bestFit="1" customWidth="1"/>
    <col min="4" max="4" width="32.42578125" bestFit="1" customWidth="1"/>
    <col min="5" max="5" width="3.85546875" bestFit="1" customWidth="1"/>
    <col min="6" max="6" width="18.140625" customWidth="1"/>
    <col min="7" max="7" width="21" customWidth="1"/>
    <col min="8" max="8" width="11.5703125" customWidth="1"/>
    <col min="9" max="9" width="12.5703125" customWidth="1"/>
    <col min="10" max="12" width="3.140625" customWidth="1"/>
    <col min="13" max="13" width="15.5703125" customWidth="1"/>
    <col min="14" max="15" width="3.85546875" customWidth="1"/>
    <col min="16" max="16" width="8" bestFit="1" customWidth="1"/>
    <col min="17" max="17" width="10.140625" bestFit="1" customWidth="1"/>
    <col min="18" max="18" width="22.5703125" bestFit="1" customWidth="1"/>
    <col min="19" max="19" width="32.42578125" bestFit="1" customWidth="1"/>
    <col min="20" max="20" width="3.85546875" bestFit="1" customWidth="1"/>
    <col min="21" max="21" width="13.28515625" customWidth="1"/>
    <col min="22" max="22" width="19.140625" customWidth="1"/>
    <col min="23" max="23" width="12.42578125" customWidth="1"/>
    <col min="24" max="24" width="11.140625" customWidth="1"/>
  </cols>
  <sheetData>
    <row r="1" spans="1:24" ht="14.45" customHeight="1" x14ac:dyDescent="0.25">
      <c r="A1" s="141" t="s">
        <v>206</v>
      </c>
      <c r="B1" s="141"/>
      <c r="C1" s="141"/>
      <c r="D1" s="141"/>
      <c r="E1" s="141"/>
      <c r="F1" s="141"/>
      <c r="G1" s="141"/>
      <c r="H1" s="141"/>
      <c r="I1" s="141"/>
      <c r="M1" s="32" t="s">
        <v>56</v>
      </c>
      <c r="P1" s="143" t="s">
        <v>56</v>
      </c>
      <c r="Q1" s="143"/>
      <c r="R1" s="143"/>
      <c r="S1" s="143"/>
      <c r="T1" s="143"/>
      <c r="U1" s="143"/>
      <c r="V1" s="143"/>
      <c r="W1" s="143"/>
      <c r="X1" s="143"/>
    </row>
    <row r="2" spans="1:24" ht="14.4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M2" s="18" t="s">
        <v>207</v>
      </c>
      <c r="P2" s="13" t="s">
        <v>207</v>
      </c>
      <c r="Q2" s="116" t="s">
        <v>172</v>
      </c>
      <c r="R2" s="13" t="s">
        <v>60</v>
      </c>
      <c r="S2" s="13" t="s">
        <v>61</v>
      </c>
      <c r="T2" s="13" t="s">
        <v>33</v>
      </c>
      <c r="U2" s="13" t="s">
        <v>176</v>
      </c>
      <c r="V2" s="13" t="s">
        <v>31</v>
      </c>
      <c r="W2" s="13" t="s">
        <v>215</v>
      </c>
      <c r="X2" s="13" t="s">
        <v>216</v>
      </c>
    </row>
    <row r="3" spans="1:24" x14ac:dyDescent="0.25">
      <c r="A3" s="13" t="s">
        <v>207</v>
      </c>
      <c r="B3" s="13" t="s">
        <v>172</v>
      </c>
      <c r="C3" s="13" t="s">
        <v>60</v>
      </c>
      <c r="D3" s="13" t="s">
        <v>61</v>
      </c>
      <c r="E3" s="13" t="s">
        <v>33</v>
      </c>
      <c r="F3" s="13" t="s">
        <v>176</v>
      </c>
      <c r="G3" s="13" t="s">
        <v>31</v>
      </c>
      <c r="H3" s="13" t="s">
        <v>215</v>
      </c>
      <c r="I3" s="13" t="s">
        <v>216</v>
      </c>
      <c r="M3" s="27">
        <f>'Inventory Management'!B4</f>
        <v>2</v>
      </c>
      <c r="P3" s="1">
        <v>2</v>
      </c>
      <c r="Q3" t="s">
        <v>178</v>
      </c>
      <c r="R3" t="s">
        <v>157</v>
      </c>
      <c r="S3" t="s">
        <v>158</v>
      </c>
      <c r="T3">
        <v>1</v>
      </c>
      <c r="U3" s="105">
        <v>12000</v>
      </c>
      <c r="V3" s="105">
        <v>12000</v>
      </c>
      <c r="W3">
        <v>9</v>
      </c>
      <c r="X3">
        <v>5</v>
      </c>
    </row>
    <row r="4" spans="1:24" x14ac:dyDescent="0.25">
      <c r="A4" s="1">
        <v>1</v>
      </c>
      <c r="B4" t="s">
        <v>169</v>
      </c>
      <c r="C4" t="s">
        <v>157</v>
      </c>
      <c r="D4" t="s">
        <v>158</v>
      </c>
      <c r="E4">
        <v>1</v>
      </c>
      <c r="F4" s="109">
        <v>100000</v>
      </c>
      <c r="G4" s="109">
        <v>100000</v>
      </c>
      <c r="H4">
        <v>9</v>
      </c>
      <c r="I4">
        <f>ROW()</f>
        <v>4</v>
      </c>
      <c r="P4" s="1"/>
      <c r="U4" s="105"/>
      <c r="V4" s="105"/>
    </row>
    <row r="5" spans="1:24" x14ac:dyDescent="0.25">
      <c r="A5" s="1">
        <v>2</v>
      </c>
      <c r="B5" t="s">
        <v>178</v>
      </c>
      <c r="C5" t="s">
        <v>157</v>
      </c>
      <c r="D5" t="s">
        <v>158</v>
      </c>
      <c r="E5">
        <v>1</v>
      </c>
      <c r="F5" s="105">
        <v>12000</v>
      </c>
      <c r="G5" s="105">
        <v>12000</v>
      </c>
      <c r="H5">
        <v>9</v>
      </c>
      <c r="I5">
        <f>ROW()</f>
        <v>5</v>
      </c>
      <c r="P5" s="1"/>
      <c r="U5" s="105"/>
      <c r="V5" s="105"/>
    </row>
    <row r="6" spans="1:24" x14ac:dyDescent="0.25">
      <c r="A6" s="1">
        <v>3</v>
      </c>
      <c r="B6" t="s">
        <v>178</v>
      </c>
      <c r="C6" t="s">
        <v>157</v>
      </c>
      <c r="D6" t="s">
        <v>158</v>
      </c>
      <c r="E6">
        <v>1</v>
      </c>
      <c r="F6" s="105">
        <v>12000</v>
      </c>
      <c r="G6" s="105">
        <v>12000</v>
      </c>
      <c r="H6">
        <v>9</v>
      </c>
      <c r="I6">
        <f>ROW()</f>
        <v>6</v>
      </c>
      <c r="P6" s="1"/>
      <c r="U6" s="105"/>
      <c r="V6" s="105"/>
    </row>
    <row r="7" spans="1:24" x14ac:dyDescent="0.25">
      <c r="A7" s="1">
        <v>4</v>
      </c>
      <c r="B7" t="s">
        <v>169</v>
      </c>
      <c r="C7" t="s">
        <v>152</v>
      </c>
      <c r="D7" t="s">
        <v>153</v>
      </c>
      <c r="E7">
        <v>1</v>
      </c>
      <c r="F7" s="105">
        <v>150000</v>
      </c>
      <c r="G7" s="105">
        <v>150000</v>
      </c>
      <c r="H7">
        <v>9</v>
      </c>
      <c r="I7">
        <f>ROW()</f>
        <v>7</v>
      </c>
      <c r="P7" s="1"/>
      <c r="U7" s="105"/>
      <c r="V7" s="105"/>
    </row>
    <row r="8" spans="1:24" x14ac:dyDescent="0.25">
      <c r="A8" s="1">
        <v>5</v>
      </c>
      <c r="B8" t="s">
        <v>178</v>
      </c>
      <c r="C8" t="s">
        <v>157</v>
      </c>
      <c r="D8" t="s">
        <v>158</v>
      </c>
      <c r="E8">
        <v>1</v>
      </c>
      <c r="F8" s="105">
        <v>12000</v>
      </c>
      <c r="G8" s="105">
        <v>12000</v>
      </c>
      <c r="H8">
        <v>9</v>
      </c>
      <c r="I8">
        <f>ROW()</f>
        <v>8</v>
      </c>
      <c r="P8" s="1"/>
      <c r="U8" s="105"/>
      <c r="V8" s="105"/>
    </row>
    <row r="9" spans="1:24" x14ac:dyDescent="0.25">
      <c r="A9" s="1">
        <v>7</v>
      </c>
      <c r="B9" t="s">
        <v>169</v>
      </c>
      <c r="C9" t="s">
        <v>157</v>
      </c>
      <c r="D9" t="s">
        <v>158</v>
      </c>
      <c r="E9">
        <v>1</v>
      </c>
      <c r="F9" s="105">
        <v>100000</v>
      </c>
      <c r="G9" s="105">
        <v>100000</v>
      </c>
      <c r="H9">
        <v>9</v>
      </c>
      <c r="I9">
        <f>ROW()</f>
        <v>9</v>
      </c>
      <c r="P9" s="1"/>
      <c r="U9" s="105"/>
      <c r="V9" s="105"/>
    </row>
    <row r="10" spans="1:24" x14ac:dyDescent="0.25">
      <c r="A10" s="1">
        <v>10</v>
      </c>
      <c r="B10" t="s">
        <v>169</v>
      </c>
      <c r="C10" t="s">
        <v>152</v>
      </c>
      <c r="D10" t="s">
        <v>153</v>
      </c>
      <c r="E10">
        <v>1</v>
      </c>
      <c r="F10" s="105">
        <v>150000</v>
      </c>
      <c r="G10" s="105">
        <v>150000</v>
      </c>
      <c r="H10">
        <v>9</v>
      </c>
      <c r="I10">
        <f>ROW()</f>
        <v>10</v>
      </c>
      <c r="U10" s="105"/>
      <c r="V10" s="105"/>
    </row>
    <row r="11" spans="1:24" x14ac:dyDescent="0.25">
      <c r="A11" s="1">
        <v>11</v>
      </c>
      <c r="B11" t="s">
        <v>178</v>
      </c>
      <c r="C11" t="s">
        <v>150</v>
      </c>
      <c r="D11" t="s">
        <v>151</v>
      </c>
      <c r="E11">
        <v>1</v>
      </c>
      <c r="F11" s="105">
        <v>100000</v>
      </c>
      <c r="G11" s="105">
        <v>100000</v>
      </c>
      <c r="H11">
        <v>9</v>
      </c>
      <c r="I11">
        <f>ROW()</f>
        <v>11</v>
      </c>
      <c r="U11" s="105"/>
      <c r="V11" s="105"/>
    </row>
    <row r="12" spans="1:24" x14ac:dyDescent="0.25">
      <c r="A12" s="1">
        <v>12</v>
      </c>
      <c r="B12" t="s">
        <v>178</v>
      </c>
      <c r="C12" t="s">
        <v>152</v>
      </c>
      <c r="D12" t="s">
        <v>153</v>
      </c>
      <c r="E12">
        <v>1</v>
      </c>
      <c r="F12" s="105">
        <v>300000</v>
      </c>
      <c r="G12" s="105">
        <v>300000</v>
      </c>
      <c r="H12">
        <v>9</v>
      </c>
      <c r="I12">
        <f>ROW()</f>
        <v>12</v>
      </c>
      <c r="U12" s="105"/>
      <c r="V12" s="105"/>
    </row>
    <row r="13" spans="1:24" x14ac:dyDescent="0.25">
      <c r="A13" s="1">
        <v>13</v>
      </c>
      <c r="B13" t="s">
        <v>169</v>
      </c>
      <c r="C13" t="s">
        <v>155</v>
      </c>
      <c r="D13" t="s">
        <v>156</v>
      </c>
      <c r="E13">
        <v>10</v>
      </c>
      <c r="F13" s="109">
        <v>120000</v>
      </c>
      <c r="G13" s="109">
        <v>1200000</v>
      </c>
      <c r="H13">
        <v>9</v>
      </c>
      <c r="I13">
        <f>ROW()</f>
        <v>13</v>
      </c>
      <c r="U13" s="105"/>
      <c r="V13" s="105"/>
    </row>
    <row r="14" spans="1:24" x14ac:dyDescent="0.25">
      <c r="A14" s="1">
        <v>13</v>
      </c>
      <c r="B14" t="s">
        <v>169</v>
      </c>
      <c r="C14" t="s">
        <v>150</v>
      </c>
      <c r="D14" t="s">
        <v>151</v>
      </c>
      <c r="E14">
        <v>10</v>
      </c>
      <c r="F14" s="109">
        <v>80000</v>
      </c>
      <c r="G14" s="109">
        <v>800000</v>
      </c>
      <c r="H14">
        <v>10</v>
      </c>
      <c r="I14">
        <f>ROW()</f>
        <v>14</v>
      </c>
      <c r="U14" s="105"/>
      <c r="V14" s="105"/>
    </row>
    <row r="15" spans="1:24" x14ac:dyDescent="0.25">
      <c r="A15" s="1">
        <v>13</v>
      </c>
      <c r="B15" t="s">
        <v>169</v>
      </c>
      <c r="C15" t="s">
        <v>152</v>
      </c>
      <c r="D15" t="s">
        <v>153</v>
      </c>
      <c r="E15">
        <v>10</v>
      </c>
      <c r="F15" s="109">
        <v>150000</v>
      </c>
      <c r="G15" s="109">
        <v>1500000</v>
      </c>
      <c r="H15">
        <v>11</v>
      </c>
      <c r="I15">
        <f>ROW()</f>
        <v>15</v>
      </c>
      <c r="U15" s="105"/>
      <c r="V15" s="105"/>
    </row>
    <row r="16" spans="1:24" x14ac:dyDescent="0.25">
      <c r="A16" s="1">
        <v>13</v>
      </c>
      <c r="B16" t="s">
        <v>169</v>
      </c>
      <c r="C16" t="s">
        <v>157</v>
      </c>
      <c r="D16" t="s">
        <v>158</v>
      </c>
      <c r="E16">
        <v>10</v>
      </c>
      <c r="F16" s="109">
        <v>100000</v>
      </c>
      <c r="G16" s="109">
        <v>1000000</v>
      </c>
      <c r="H16">
        <v>12</v>
      </c>
      <c r="I16">
        <f>ROW()</f>
        <v>16</v>
      </c>
      <c r="U16" s="105"/>
      <c r="V16" s="105"/>
    </row>
    <row r="17" spans="1:22" x14ac:dyDescent="0.25">
      <c r="A17" s="1">
        <v>14</v>
      </c>
      <c r="B17" t="s">
        <v>178</v>
      </c>
      <c r="C17" t="s">
        <v>157</v>
      </c>
      <c r="D17" t="s">
        <v>158</v>
      </c>
      <c r="E17">
        <v>1</v>
      </c>
      <c r="F17" s="109">
        <v>12000</v>
      </c>
      <c r="G17" s="109">
        <v>12000</v>
      </c>
      <c r="H17">
        <v>9</v>
      </c>
      <c r="I17">
        <f>ROW()</f>
        <v>17</v>
      </c>
      <c r="U17" s="105"/>
      <c r="V17" s="105"/>
    </row>
    <row r="18" spans="1:22" x14ac:dyDescent="0.25">
      <c r="A18" s="1">
        <v>15</v>
      </c>
      <c r="B18" t="s">
        <v>169</v>
      </c>
      <c r="C18" t="s">
        <v>159</v>
      </c>
      <c r="D18" t="s">
        <v>160</v>
      </c>
      <c r="E18">
        <v>1</v>
      </c>
      <c r="F18" s="109">
        <v>30000</v>
      </c>
      <c r="G18" s="109">
        <v>30000</v>
      </c>
      <c r="H18">
        <v>9</v>
      </c>
      <c r="I18">
        <f>ROW()</f>
        <v>18</v>
      </c>
      <c r="U18" s="105"/>
      <c r="V18" s="105"/>
    </row>
    <row r="19" spans="1:22" x14ac:dyDescent="0.25">
      <c r="A19" s="1">
        <v>16</v>
      </c>
      <c r="B19" t="s">
        <v>169</v>
      </c>
      <c r="C19" t="s">
        <v>159</v>
      </c>
      <c r="D19" t="s">
        <v>160</v>
      </c>
      <c r="E19">
        <v>1</v>
      </c>
      <c r="F19" s="109">
        <v>30000</v>
      </c>
      <c r="G19" s="109">
        <v>30000</v>
      </c>
      <c r="H19">
        <v>9</v>
      </c>
      <c r="I19">
        <f>ROW()</f>
        <v>19</v>
      </c>
      <c r="U19" s="105"/>
      <c r="V19" s="105"/>
    </row>
    <row r="20" spans="1:22" x14ac:dyDescent="0.25">
      <c r="A20" s="1">
        <v>17</v>
      </c>
      <c r="B20" t="s">
        <v>178</v>
      </c>
      <c r="C20" t="s">
        <v>159</v>
      </c>
      <c r="D20" t="s">
        <v>160</v>
      </c>
      <c r="E20">
        <v>1</v>
      </c>
      <c r="F20" s="109">
        <v>50000</v>
      </c>
      <c r="G20" s="109">
        <v>50000</v>
      </c>
      <c r="H20">
        <v>9</v>
      </c>
      <c r="I20">
        <f>ROW()</f>
        <v>20</v>
      </c>
      <c r="U20" s="105"/>
      <c r="V20" s="105"/>
    </row>
    <row r="21" spans="1:22" x14ac:dyDescent="0.25">
      <c r="A21" s="1">
        <v>18</v>
      </c>
      <c r="B21" t="s">
        <v>178</v>
      </c>
      <c r="C21" t="s">
        <v>159</v>
      </c>
      <c r="D21" t="s">
        <v>160</v>
      </c>
      <c r="E21">
        <v>1</v>
      </c>
      <c r="F21" s="109">
        <v>50000</v>
      </c>
      <c r="G21" s="109">
        <v>50000</v>
      </c>
      <c r="H21">
        <v>9</v>
      </c>
      <c r="I21">
        <f>ROW()</f>
        <v>21</v>
      </c>
      <c r="V21" s="105"/>
    </row>
    <row r="22" spans="1:22" x14ac:dyDescent="0.25">
      <c r="A22" s="1">
        <v>19</v>
      </c>
      <c r="B22" t="s">
        <v>178</v>
      </c>
      <c r="C22" t="s">
        <v>159</v>
      </c>
      <c r="D22" t="s">
        <v>160</v>
      </c>
      <c r="E22">
        <v>1</v>
      </c>
      <c r="F22" s="109">
        <v>50000</v>
      </c>
      <c r="G22" s="109">
        <v>50000</v>
      </c>
      <c r="H22">
        <v>9</v>
      </c>
      <c r="I22">
        <f>ROW()</f>
        <v>22</v>
      </c>
    </row>
    <row r="23" spans="1:22" x14ac:dyDescent="0.25">
      <c r="A23" s="1">
        <v>20</v>
      </c>
      <c r="B23" t="s">
        <v>169</v>
      </c>
      <c r="C23" t="s">
        <v>159</v>
      </c>
      <c r="D23" t="s">
        <v>160</v>
      </c>
      <c r="E23">
        <v>1</v>
      </c>
      <c r="F23" s="109">
        <v>30000</v>
      </c>
      <c r="G23" s="109">
        <v>30000</v>
      </c>
      <c r="H23">
        <v>9</v>
      </c>
      <c r="I23">
        <f>ROW()</f>
        <v>23</v>
      </c>
    </row>
    <row r="24" spans="1:22" x14ac:dyDescent="0.25">
      <c r="A24" s="1">
        <v>21</v>
      </c>
      <c r="B24" t="s">
        <v>169</v>
      </c>
      <c r="C24" t="s">
        <v>157</v>
      </c>
      <c r="D24" t="s">
        <v>158</v>
      </c>
      <c r="E24">
        <v>1</v>
      </c>
      <c r="F24" s="109">
        <v>100000</v>
      </c>
      <c r="G24" s="109">
        <v>100000</v>
      </c>
      <c r="H24">
        <v>9</v>
      </c>
      <c r="I24">
        <f>ROW()</f>
        <v>24</v>
      </c>
    </row>
    <row r="25" spans="1:22" x14ac:dyDescent="0.25">
      <c r="A25" s="1">
        <v>1</v>
      </c>
      <c r="B25" t="s">
        <v>169</v>
      </c>
      <c r="C25" t="s">
        <v>157</v>
      </c>
      <c r="D25" t="s">
        <v>158</v>
      </c>
      <c r="E25">
        <v>1</v>
      </c>
      <c r="F25" s="109">
        <v>100000</v>
      </c>
      <c r="G25" s="109">
        <v>100000</v>
      </c>
      <c r="H25">
        <v>10</v>
      </c>
      <c r="I25">
        <f>ROW()</f>
        <v>25</v>
      </c>
    </row>
    <row r="26" spans="1:22" x14ac:dyDescent="0.25">
      <c r="F26" s="105"/>
      <c r="G26" s="105"/>
    </row>
    <row r="27" spans="1:22" x14ac:dyDescent="0.25">
      <c r="F27" s="105"/>
      <c r="G27" s="105"/>
    </row>
    <row r="28" spans="1:22" x14ac:dyDescent="0.25">
      <c r="F28" s="105"/>
      <c r="G28" s="105"/>
    </row>
    <row r="29" spans="1:22" x14ac:dyDescent="0.25">
      <c r="F29" s="105"/>
      <c r="G29" s="105"/>
    </row>
    <row r="30" spans="1:22" x14ac:dyDescent="0.25">
      <c r="F30" s="105"/>
      <c r="G30" s="105"/>
    </row>
    <row r="31" spans="1:22" x14ac:dyDescent="0.25">
      <c r="F31" s="105"/>
    </row>
    <row r="32" spans="1:22" x14ac:dyDescent="0.25">
      <c r="F32" s="105"/>
    </row>
    <row r="33" spans="6:6" x14ac:dyDescent="0.25">
      <c r="F33" s="105"/>
    </row>
    <row r="34" spans="6:6" x14ac:dyDescent="0.25">
      <c r="F34" s="105"/>
    </row>
    <row r="35" spans="6:6" x14ac:dyDescent="0.25">
      <c r="F35" s="105"/>
    </row>
    <row r="36" spans="6:6" x14ac:dyDescent="0.25">
      <c r="F36" s="105"/>
    </row>
    <row r="37" spans="6:6" x14ac:dyDescent="0.25">
      <c r="F37" s="105"/>
    </row>
    <row r="38" spans="6:6" x14ac:dyDescent="0.25">
      <c r="F38" s="105"/>
    </row>
    <row r="39" spans="6:6" x14ac:dyDescent="0.25">
      <c r="F39" s="105"/>
    </row>
    <row r="40" spans="6:6" x14ac:dyDescent="0.25">
      <c r="F40" s="105"/>
    </row>
    <row r="41" spans="6:6" x14ac:dyDescent="0.25">
      <c r="F41" s="105"/>
    </row>
    <row r="42" spans="6:6" x14ac:dyDescent="0.25">
      <c r="F42" s="105"/>
    </row>
    <row r="43" spans="6:6" x14ac:dyDescent="0.25">
      <c r="F43" s="105"/>
    </row>
    <row r="44" spans="6:6" x14ac:dyDescent="0.25">
      <c r="F44" s="105"/>
    </row>
    <row r="45" spans="6:6" x14ac:dyDescent="0.25">
      <c r="F45" s="105"/>
    </row>
    <row r="46" spans="6:6" x14ac:dyDescent="0.25">
      <c r="F46" s="105"/>
    </row>
    <row r="47" spans="6:6" x14ac:dyDescent="0.25">
      <c r="F47" s="105"/>
    </row>
    <row r="48" spans="6:6" x14ac:dyDescent="0.25">
      <c r="F48" s="105"/>
    </row>
    <row r="49" spans="6:6" x14ac:dyDescent="0.25">
      <c r="F49" s="105"/>
    </row>
    <row r="50" spans="6:6" x14ac:dyDescent="0.25">
      <c r="F50" s="105"/>
    </row>
    <row r="51" spans="6:6" x14ac:dyDescent="0.25">
      <c r="F51" s="105"/>
    </row>
    <row r="52" spans="6:6" x14ac:dyDescent="0.25">
      <c r="F52" s="105"/>
    </row>
    <row r="53" spans="6:6" x14ac:dyDescent="0.25">
      <c r="F53" s="105"/>
    </row>
    <row r="54" spans="6:6" x14ac:dyDescent="0.25">
      <c r="F54" s="105"/>
    </row>
    <row r="55" spans="6:6" x14ac:dyDescent="0.25">
      <c r="F55" s="105"/>
    </row>
    <row r="56" spans="6:6" x14ac:dyDescent="0.25">
      <c r="F56" s="105"/>
    </row>
    <row r="57" spans="6:6" x14ac:dyDescent="0.25">
      <c r="F57" s="105"/>
    </row>
    <row r="58" spans="6:6" x14ac:dyDescent="0.25">
      <c r="F58" s="105"/>
    </row>
    <row r="59" spans="6:6" x14ac:dyDescent="0.25">
      <c r="F59" s="105"/>
    </row>
    <row r="60" spans="6:6" x14ac:dyDescent="0.25">
      <c r="F60" s="105"/>
    </row>
    <row r="61" spans="6:6" x14ac:dyDescent="0.25">
      <c r="F61" s="105"/>
    </row>
    <row r="62" spans="6:6" x14ac:dyDescent="0.25">
      <c r="F62" s="105"/>
    </row>
    <row r="63" spans="6:6" x14ac:dyDescent="0.25">
      <c r="F63" s="105"/>
    </row>
    <row r="64" spans="6:6" x14ac:dyDescent="0.25">
      <c r="F64" s="105"/>
    </row>
    <row r="65" spans="6:7" x14ac:dyDescent="0.25">
      <c r="F65" s="105"/>
    </row>
    <row r="66" spans="6:7" x14ac:dyDescent="0.25">
      <c r="F66" s="105"/>
    </row>
    <row r="67" spans="6:7" x14ac:dyDescent="0.25">
      <c r="F67" s="105"/>
    </row>
    <row r="68" spans="6:7" x14ac:dyDescent="0.25">
      <c r="F68" s="105"/>
    </row>
    <row r="69" spans="6:7" x14ac:dyDescent="0.25">
      <c r="F69" s="105"/>
    </row>
    <row r="70" spans="6:7" x14ac:dyDescent="0.25">
      <c r="F70" s="105"/>
    </row>
    <row r="71" spans="6:7" x14ac:dyDescent="0.25">
      <c r="F71" s="105"/>
    </row>
    <row r="72" spans="6:7" x14ac:dyDescent="0.25">
      <c r="F72" s="105"/>
      <c r="G72" s="29"/>
    </row>
    <row r="73" spans="6:7" x14ac:dyDescent="0.25">
      <c r="F73" s="105"/>
      <c r="G73" s="29"/>
    </row>
    <row r="74" spans="6:7" x14ac:dyDescent="0.25">
      <c r="F74" s="105"/>
      <c r="G74" s="29"/>
    </row>
    <row r="75" spans="6:7" x14ac:dyDescent="0.25">
      <c r="F75" s="105"/>
      <c r="G75" s="29"/>
    </row>
    <row r="76" spans="6:7" x14ac:dyDescent="0.25">
      <c r="F76" s="105"/>
      <c r="G76" s="29"/>
    </row>
    <row r="77" spans="6:7" x14ac:dyDescent="0.25">
      <c r="F77" s="105"/>
      <c r="G77" s="29"/>
    </row>
    <row r="78" spans="6:7" x14ac:dyDescent="0.25">
      <c r="F78" s="105"/>
      <c r="G78" s="29"/>
    </row>
    <row r="79" spans="6:7" x14ac:dyDescent="0.25">
      <c r="F79" s="105"/>
      <c r="G79" s="29"/>
    </row>
    <row r="80" spans="6:7" x14ac:dyDescent="0.25">
      <c r="F80" s="105"/>
      <c r="G80" s="29"/>
    </row>
    <row r="81" spans="6:7" x14ac:dyDescent="0.25">
      <c r="F81" s="105"/>
      <c r="G81" s="29"/>
    </row>
    <row r="82" spans="6:7" x14ac:dyDescent="0.25">
      <c r="F82" s="105"/>
      <c r="G82" s="29"/>
    </row>
    <row r="83" spans="6:7" x14ac:dyDescent="0.25">
      <c r="F83" s="29"/>
      <c r="G83" s="29"/>
    </row>
    <row r="84" spans="6:7" x14ac:dyDescent="0.25">
      <c r="F84" s="29"/>
      <c r="G84" s="29"/>
    </row>
    <row r="85" spans="6:7" x14ac:dyDescent="0.25">
      <c r="F85" s="29"/>
      <c r="G85" s="29"/>
    </row>
    <row r="86" spans="6:7" x14ac:dyDescent="0.25">
      <c r="F86" s="29"/>
      <c r="G86" s="29"/>
    </row>
    <row r="87" spans="6:7" x14ac:dyDescent="0.25">
      <c r="F87" s="29"/>
      <c r="G87" s="29"/>
    </row>
    <row r="88" spans="6:7" x14ac:dyDescent="0.25">
      <c r="F88" s="29"/>
      <c r="G88" s="29"/>
    </row>
    <row r="89" spans="6:7" x14ac:dyDescent="0.25">
      <c r="F89" s="29"/>
      <c r="G89" s="29"/>
    </row>
    <row r="90" spans="6:7" x14ac:dyDescent="0.25">
      <c r="F90" s="29"/>
      <c r="G90" s="29"/>
    </row>
    <row r="91" spans="6:7" x14ac:dyDescent="0.25">
      <c r="F91" s="29"/>
      <c r="G91" s="29"/>
    </row>
    <row r="92" spans="6:7" x14ac:dyDescent="0.25">
      <c r="F92" s="29"/>
      <c r="G92" s="29"/>
    </row>
    <row r="93" spans="6:7" x14ac:dyDescent="0.25">
      <c r="F93" s="29"/>
      <c r="G93" s="29"/>
    </row>
    <row r="94" spans="6:7" x14ac:dyDescent="0.25">
      <c r="F94" s="29"/>
      <c r="G94" s="29"/>
    </row>
    <row r="95" spans="6:7" x14ac:dyDescent="0.25">
      <c r="F95" s="29"/>
      <c r="G95" s="29"/>
    </row>
    <row r="96" spans="6:7" x14ac:dyDescent="0.25">
      <c r="F96" s="29"/>
      <c r="G96" s="29"/>
    </row>
    <row r="97" spans="6:7" x14ac:dyDescent="0.25">
      <c r="F97" s="29"/>
      <c r="G97" s="29"/>
    </row>
    <row r="98" spans="6:7" x14ac:dyDescent="0.25">
      <c r="F98" s="29"/>
      <c r="G98" s="29"/>
    </row>
    <row r="99" spans="6:7" x14ac:dyDescent="0.25">
      <c r="F99" s="29"/>
      <c r="G99" s="29"/>
    </row>
    <row r="100" spans="6:7" x14ac:dyDescent="0.25">
      <c r="F100" s="29"/>
      <c r="G100" s="29"/>
    </row>
    <row r="101" spans="6:7" x14ac:dyDescent="0.25">
      <c r="F101" s="29"/>
      <c r="G101" s="29"/>
    </row>
    <row r="102" spans="6:7" x14ac:dyDescent="0.25">
      <c r="F102" s="29"/>
      <c r="G102" s="29"/>
    </row>
    <row r="103" spans="6:7" x14ac:dyDescent="0.25">
      <c r="F103" s="29"/>
      <c r="G103" s="29"/>
    </row>
    <row r="104" spans="6:7" x14ac:dyDescent="0.25">
      <c r="F104" s="29"/>
      <c r="G104" s="29"/>
    </row>
    <row r="105" spans="6:7" x14ac:dyDescent="0.25">
      <c r="F105" s="29"/>
      <c r="G105" s="29"/>
    </row>
    <row r="106" spans="6:7" x14ac:dyDescent="0.25">
      <c r="F106" s="29"/>
      <c r="G106" s="29"/>
    </row>
    <row r="107" spans="6:7" x14ac:dyDescent="0.25">
      <c r="F107" s="29"/>
      <c r="G107" s="29"/>
    </row>
    <row r="108" spans="6:7" x14ac:dyDescent="0.25">
      <c r="F108" s="29"/>
      <c r="G108" s="29"/>
    </row>
    <row r="109" spans="6:7" x14ac:dyDescent="0.25">
      <c r="F109" s="29"/>
      <c r="G109" s="29"/>
    </row>
    <row r="110" spans="6:7" x14ac:dyDescent="0.25">
      <c r="F110" s="29"/>
      <c r="G110" s="29"/>
    </row>
    <row r="111" spans="6:7" x14ac:dyDescent="0.25">
      <c r="F111" s="29"/>
      <c r="G111" s="29"/>
    </row>
    <row r="112" spans="6:7" x14ac:dyDescent="0.25">
      <c r="F112" s="29"/>
      <c r="G112" s="29"/>
    </row>
    <row r="113" spans="6:7" x14ac:dyDescent="0.25">
      <c r="F113" s="29"/>
      <c r="G113" s="29"/>
    </row>
    <row r="114" spans="6:7" x14ac:dyDescent="0.25">
      <c r="F114" s="29"/>
      <c r="G114" s="29"/>
    </row>
    <row r="115" spans="6:7" x14ac:dyDescent="0.25">
      <c r="F115" s="29"/>
      <c r="G115" s="29"/>
    </row>
    <row r="116" spans="6:7" x14ac:dyDescent="0.25">
      <c r="F116" s="29"/>
      <c r="G116" s="29"/>
    </row>
    <row r="117" spans="6:7" x14ac:dyDescent="0.25">
      <c r="F117" s="29"/>
      <c r="G117" s="29"/>
    </row>
    <row r="118" spans="6:7" x14ac:dyDescent="0.25">
      <c r="F118" s="29"/>
      <c r="G118" s="29"/>
    </row>
    <row r="119" spans="6:7" x14ac:dyDescent="0.25">
      <c r="F119" s="29"/>
      <c r="G119" s="29"/>
    </row>
    <row r="120" spans="6:7" x14ac:dyDescent="0.25">
      <c r="F120" s="29"/>
      <c r="G120" s="29"/>
    </row>
    <row r="121" spans="6:7" x14ac:dyDescent="0.25">
      <c r="F121" s="29"/>
      <c r="G121" s="29"/>
    </row>
    <row r="122" spans="6:7" x14ac:dyDescent="0.25">
      <c r="F122" s="29"/>
      <c r="G122" s="29"/>
    </row>
    <row r="123" spans="6:7" x14ac:dyDescent="0.25">
      <c r="F123" s="29"/>
      <c r="G123" s="29"/>
    </row>
    <row r="124" spans="6:7" x14ac:dyDescent="0.25">
      <c r="F124" s="29"/>
      <c r="G124" s="29"/>
    </row>
    <row r="125" spans="6:7" x14ac:dyDescent="0.25">
      <c r="F125" s="29"/>
      <c r="G125" s="29"/>
    </row>
    <row r="126" spans="6:7" x14ac:dyDescent="0.25">
      <c r="F126" s="29"/>
      <c r="G126" s="29"/>
    </row>
    <row r="127" spans="6:7" x14ac:dyDescent="0.25">
      <c r="F127" s="29"/>
      <c r="G127" s="29"/>
    </row>
    <row r="128" spans="6:7" x14ac:dyDescent="0.25">
      <c r="F128" s="29"/>
      <c r="G128" s="29"/>
    </row>
    <row r="129" spans="6:7" x14ac:dyDescent="0.25">
      <c r="F129" s="29"/>
      <c r="G129" s="29"/>
    </row>
  </sheetData>
  <sortState xmlns:xlrd2="http://schemas.microsoft.com/office/spreadsheetml/2017/richdata2" ref="A4:I21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dumy</vt:lpstr>
      <vt:lpstr>Nama Angota</vt:lpstr>
      <vt:lpstr>Inventory Management</vt:lpstr>
      <vt:lpstr>Dashboard</vt:lpstr>
      <vt:lpstr>Dashboard Data</vt:lpstr>
      <vt:lpstr>Pelanggan</vt:lpstr>
      <vt:lpstr>Pemasok</vt:lpstr>
      <vt:lpstr>Tipe Pesanan</vt:lpstr>
      <vt:lpstr>Produk</vt:lpstr>
      <vt:lpstr>Item</vt:lpstr>
      <vt:lpstr>Item!Criteria</vt:lpstr>
      <vt:lpstr>Pelanggan!Criteria</vt:lpstr>
      <vt:lpstr>Pemasok!Criteria</vt:lpstr>
      <vt:lpstr>Produk!Criteria</vt:lpstr>
      <vt:lpstr>DateRange</vt:lpstr>
      <vt:lpstr>Item!Extract</vt:lpstr>
      <vt:lpstr>Pelanggan!Extract</vt:lpstr>
      <vt:lpstr>Pemasok!Extract</vt:lpstr>
      <vt:lpstr>Produk!Extract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Manager/>
  <Company>HP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Randy Austins</dc:creator>
  <cp:keywords/>
  <dc:description/>
  <cp:lastModifiedBy>irfan pratama.acer</cp:lastModifiedBy>
  <cp:revision/>
  <cp:lastPrinted>2025-12-05T12:31:16Z</cp:lastPrinted>
  <dcterms:created xsi:type="dcterms:W3CDTF">2023-05-22T07:01:39Z</dcterms:created>
  <dcterms:modified xsi:type="dcterms:W3CDTF">2025-12-06T04:01:48Z</dcterms:modified>
  <cp:category/>
  <cp:contentStatus/>
</cp:coreProperties>
</file>